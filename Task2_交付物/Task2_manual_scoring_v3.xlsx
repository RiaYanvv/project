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Scoring'!$A$1:$Q$151</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RELOC_006</t>
        </is>
      </c>
      <c r="D2" s="2" t="inlineStr">
        <is>
          <t>蜂巢能源 SVOLT：中国 → 东南亚转移（多地区混合布局）</t>
        </is>
      </c>
      <c r="E2" s="2" t="inlineStr">
        <is>
          <t>供应链布局</t>
        </is>
      </c>
      <c r="F2" s="2" t="inlineStr">
        <is>
          <t>B+</t>
        </is>
      </c>
      <c r="G2" s="2" t="n">
        <v>2</v>
      </c>
      <c r="H2" s="2" t="n">
        <v>1</v>
      </c>
      <c r="I2" s="3" t="n">
        <v>2</v>
      </c>
      <c r="J2" s="3" t="n">
        <v>1</v>
      </c>
      <c r="K2" s="2" t="inlineStr">
        <is>
          <t>蜂巢能源泰国电池工厂已投产，直接案例</t>
        </is>
      </c>
      <c r="L2" s="2" t="inlineStr">
        <is>
          <t>澎湃新闻</t>
        </is>
      </c>
      <c r="M2" s="2" t="inlineStr">
        <is>
          <t>Company Intelligence</t>
        </is>
      </c>
      <c r="N2" s="2" t="inlineStr">
        <is>
          <t>supply_chain</t>
        </is>
      </c>
      <c r="O2" s="2" t="inlineStr">
        <is>
          <t>RELOC_001; RELOC_002; RELOC_006; 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3">
      <c r="A3" s="2" t="inlineStr">
        <is>
          <t>Q001</t>
        </is>
      </c>
      <c r="B3" s="2" t="n">
        <v>2</v>
      </c>
      <c r="C3" s="2" t="inlineStr">
        <is>
          <t>RETURN_004</t>
        </is>
      </c>
      <c r="D3" s="2" t="inlineStr">
        <is>
          <t>蜂巢能源 SVOLT（欧洲业务）：重新评估 / 回流中国（维持现有海外布局（收缩新增））</t>
        </is>
      </c>
      <c r="E3" s="2" t="inlineStr">
        <is>
          <t>供应链布局</t>
        </is>
      </c>
      <c r="F3" s="2" t="inlineStr">
        <is>
          <t>B+</t>
        </is>
      </c>
      <c r="G3" s="2" t="n">
        <v>1</v>
      </c>
      <c r="H3" s="2" t="n">
        <v>1</v>
      </c>
      <c r="I3" s="3" t="n">
        <v>0</v>
      </c>
      <c r="J3" s="3" t="n">
        <v>1</v>
      </c>
      <c r="K3" s="2" t="inlineStr">
        <is>
          <t>欧洲业务收缩，与泰国建厂无关 ｜ 人工判定与Auto(1)不同，请复核</t>
        </is>
      </c>
      <c r="L3" s="2" t="inlineStr">
        <is>
          <t>36氪 / 财新网</t>
        </is>
      </c>
      <c r="M3" s="2" t="inlineStr">
        <is>
          <t>Company Intelligence</t>
        </is>
      </c>
      <c r="N3" s="2" t="inlineStr">
        <is>
          <t>supply_chain</t>
        </is>
      </c>
      <c r="O3" s="2" t="inlineStr">
        <is>
          <t>RELOC_001; RELOC_002; RELOC_006; 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4">
      <c r="A4" s="2" t="inlineStr">
        <is>
          <t>Q001</t>
        </is>
      </c>
      <c r="B4" s="2" t="n">
        <v>3</v>
      </c>
      <c r="C4" s="2" t="inlineStr">
        <is>
          <t>RELOC_003</t>
        </is>
      </c>
      <c r="D4" s="2" t="inlineStr">
        <is>
          <t>国轩高科 Gotion High-Tech：中国 → 东南亚转移（多地区混合布局）</t>
        </is>
      </c>
      <c r="E4" s="2" t="inlineStr">
        <is>
          <t>供应链布局</t>
        </is>
      </c>
      <c r="F4" s="2" t="inlineStr">
        <is>
          <t>B+</t>
        </is>
      </c>
      <c r="G4" s="2" t="n">
        <v>1</v>
      </c>
      <c r="H4" s="2" t="n">
        <v>1</v>
      </c>
      <c r="I4" s="3" t="n">
        <v>0</v>
      </c>
      <c r="J4" s="3" t="n">
        <v>1</v>
      </c>
      <c r="K4" s="2" t="inlineStr">
        <is>
          <t>国轩为越南基地，非泰国 ｜ 人工判定与Auto(1)不同，请复核</t>
        </is>
      </c>
      <c r="L4" s="2" t="inlineStr">
        <is>
          <t>澎湃新闻 / 盖世汽车社区</t>
        </is>
      </c>
      <c r="M4" s="2" t="inlineStr">
        <is>
          <t>Company Intelligence</t>
        </is>
      </c>
      <c r="N4" s="2" t="inlineStr">
        <is>
          <t>supply_chain</t>
        </is>
      </c>
      <c r="O4" s="2" t="inlineStr">
        <is>
          <t>RELOC_001; RELOC_002; RELOC_006; 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RELOC_003 Title: 国轩高科 Gotion High-Tech：中国 → 东南亚转移（多地区混合布局） Publisher: 澎湃新闻 / 盖世汽车社区 Country/Jurisdiction: CN/VN Publication date: 2022-11-19 Status: CURRENT Topic: 供应链布局 Applicability scope: GENERAL Related industries: 动力电池 Claim: 与 Vingroup 旗下 VinES 合资（国轩 51% / VinE</t>
        </is>
      </c>
    </row>
    <row r="5">
      <c r="A5" s="2" t="inlineStr">
        <is>
          <t>Q001</t>
        </is>
      </c>
      <c r="B5" s="2" t="n">
        <v>4</v>
      </c>
      <c r="C5" s="2" t="inlineStr">
        <is>
          <t>RELOC_002</t>
        </is>
      </c>
      <c r="D5" s="2" t="inlineStr">
        <is>
          <t>长安汽车 Changan Automobile：中国 → 东南亚转移（多地区混合布局）</t>
        </is>
      </c>
      <c r="E5" s="2" t="inlineStr">
        <is>
          <t>供应链布局</t>
        </is>
      </c>
      <c r="F5" s="2" t="inlineStr">
        <is>
          <t>S</t>
        </is>
      </c>
      <c r="G5" s="2" t="n">
        <v>2</v>
      </c>
      <c r="H5" s="2" t="n">
        <v>2</v>
      </c>
      <c r="I5" s="3" t="n">
        <v>2</v>
      </c>
      <c r="J5" s="3" t="n">
        <v>2</v>
      </c>
      <c r="K5" s="2" t="inlineStr">
        <is>
          <t>长安泰国整车工厂投产，直接案例</t>
        </is>
      </c>
      <c r="L5" s="2" t="inlineStr">
        <is>
          <t>易车 / 证券之星（投资者互动平台）</t>
        </is>
      </c>
      <c r="M5" s="2" t="inlineStr">
        <is>
          <t>Company Intelligence</t>
        </is>
      </c>
      <c r="N5" s="2" t="inlineStr">
        <is>
          <t>supply_chain</t>
        </is>
      </c>
      <c r="O5" s="2" t="inlineStr">
        <is>
          <t>RELOC_001; RELOC_002; RELOC_006; 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Evidence ID: RELOC_002 Title: 长安汽车 Changan Automobile：中国 → 东南亚转移（多地区混合布局） Publisher: 易车 / 证券之星（投资者互动平台） Country/Jurisdiction: CN/TH Publication date: 2025-05-16 Status: CURRENT Topic: 供应链布局 Applicability scope: GENERAL Related industries: 整车/汽车 Claim: 在泰国罗勇府建设整车工厂，2025-05-16 竣工投产</t>
        </is>
      </c>
    </row>
    <row r="6">
      <c r="A6" s="2" t="inlineStr">
        <is>
          <t>Q001</t>
        </is>
      </c>
      <c r="B6" s="2" t="n">
        <v>5</v>
      </c>
      <c r="C6" s="2" t="inlineStr">
        <is>
          <t>RELOC_001</t>
        </is>
      </c>
      <c r="D6" s="2" t="inlineStr">
        <is>
          <t>比亚迪 BYD：中国 → 东南亚转移（多地区混合布局）</t>
        </is>
      </c>
      <c r="E6" s="2" t="inlineStr">
        <is>
          <t>供应链布局</t>
        </is>
      </c>
      <c r="F6" s="2" t="inlineStr">
        <is>
          <t>S</t>
        </is>
      </c>
      <c r="G6" s="2" t="n">
        <v>2</v>
      </c>
      <c r="H6" s="2" t="n">
        <v>2</v>
      </c>
      <c r="I6" s="3" t="n">
        <v>2</v>
      </c>
      <c r="J6" s="3" t="n">
        <v>2</v>
      </c>
      <c r="K6" s="2" t="inlineStr">
        <is>
          <t>比亚迪泰国整车工厂投产，直接案例</t>
        </is>
      </c>
      <c r="L6" s="2" t="inlineStr">
        <is>
          <t>东方财富网（转比亚迪官方）</t>
        </is>
      </c>
      <c r="M6" s="2" t="inlineStr">
        <is>
          <t>Company Intelligence</t>
        </is>
      </c>
      <c r="N6" s="2" t="inlineStr">
        <is>
          <t>supply_chain</t>
        </is>
      </c>
      <c r="O6" s="2" t="inlineStr">
        <is>
          <t>RELOC_001; RELOC_002; RELOC_006; 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Evidence ID: RELOC_001 Title: 比亚迪 BYD：中国 → 东南亚转移（多地区混合布局） Publisher: 东方财富网（转比亚迪官方） Country/Jurisdiction: CN/TH Publication date: 2024-07-04 Status: CURRENT Topic: 供应链布局 Applicability scope: GENERAL Related industries: 整车/汽车 Claim: 2022-09 与 WHA 签约，在泰国罗勇府建全资乘用车工厂；2024-07-04 竣工投产，年</t>
        </is>
      </c>
    </row>
    <row r="7">
      <c r="A7" s="2" t="inlineStr">
        <is>
          <t>Q002</t>
        </is>
      </c>
      <c r="B7" s="2" t="n">
        <v>1</v>
      </c>
      <c r="C7" s="2" t="inlineStr">
        <is>
          <t>RETURN_001</t>
        </is>
      </c>
      <c r="D7" s="2" t="inlineStr">
        <is>
          <t>恩捷股份 Yunnan Energy New Material (Semcorp)：重新评估 / 回流中国（提高中国生产比例）</t>
        </is>
      </c>
      <c r="E7" s="2" t="inlineStr">
        <is>
          <t>供应链布局</t>
        </is>
      </c>
      <c r="F7" s="2" t="inlineStr">
        <is>
          <t>S</t>
        </is>
      </c>
      <c r="G7" s="2" t="n">
        <v>2</v>
      </c>
      <c r="H7" s="2" t="n">
        <v>2</v>
      </c>
      <c r="I7" s="3" t="n">
        <v>2</v>
      </c>
      <c r="J7" s="3" t="n">
        <v>2</v>
      </c>
      <c r="K7" s="2" t="inlineStr">
        <is>
          <t>恩捷终止马来西亚项目：马来西亚布局决策的直接案例</t>
        </is>
      </c>
      <c r="L7" s="2" t="inlineStr">
        <is>
          <t>恩捷股份公告（经东方财富网 / 央广网报道）</t>
        </is>
      </c>
      <c r="M7" s="2" t="inlineStr">
        <is>
          <t>Company Intelligence</t>
        </is>
      </c>
      <c r="N7" s="2" t="inlineStr">
        <is>
          <t>supply_chain</t>
        </is>
      </c>
      <c r="O7" s="2" t="inlineStr">
        <is>
          <t>RELOC_004; RETURN_001; PLUS1_004; 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8">
      <c r="A8" s="2" t="inlineStr">
        <is>
          <t>Q002</t>
        </is>
      </c>
      <c r="B8" s="2" t="n">
        <v>2</v>
      </c>
      <c r="C8" s="2" t="inlineStr">
        <is>
          <t>RELOC_004</t>
        </is>
      </c>
      <c r="D8" s="2" t="inlineStr">
        <is>
          <t>亿纬锂能 EVE Energy：中国 → 东南亚转移（多地区混合布局）</t>
        </is>
      </c>
      <c r="E8" s="2" t="inlineStr">
        <is>
          <t>供应链布局</t>
        </is>
      </c>
      <c r="F8" s="2" t="inlineStr">
        <is>
          <t>B+</t>
        </is>
      </c>
      <c r="G8" s="2" t="n">
        <v>2</v>
      </c>
      <c r="H8" s="2" t="n">
        <v>1</v>
      </c>
      <c r="I8" s="3" t="n">
        <v>2</v>
      </c>
      <c r="J8" s="3" t="n">
        <v>1</v>
      </c>
      <c r="K8" s="2" t="inlineStr">
        <is>
          <t>亿纬锂能马来西亚工厂投产，直接案例</t>
        </is>
      </c>
      <c r="L8" s="2" t="inlineStr">
        <is>
          <t>新浪财经</t>
        </is>
      </c>
      <c r="M8" s="2" t="inlineStr">
        <is>
          <t>Company Intelligence</t>
        </is>
      </c>
      <c r="N8" s="2" t="inlineStr">
        <is>
          <t>supply_chain</t>
        </is>
      </c>
      <c r="O8" s="2" t="inlineStr">
        <is>
          <t>RELOC_004; RETURN_001; PLUS1_004; 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9">
      <c r="A9" s="2" t="inlineStr">
        <is>
          <t>Q002</t>
        </is>
      </c>
      <c r="B9" s="2" t="n">
        <v>3</v>
      </c>
      <c r="C9" s="2" t="inlineStr">
        <is>
          <t>CASE_007</t>
        </is>
      </c>
      <c r="D9" s="2" t="inlineStr">
        <is>
          <t>华工正源：马来西亚工厂，公开表述为规避地缘风险</t>
        </is>
      </c>
      <c r="E9" s="2" t="inlineStr">
        <is>
          <t>供应链布局</t>
        </is>
      </c>
      <c r="F9" s="2" t="inlineStr">
        <is>
          <t>B+</t>
        </is>
      </c>
      <c r="G9" s="2" t="n">
        <v>2</v>
      </c>
      <c r="H9" s="2" t="n">
        <v>1</v>
      </c>
      <c r="I9" s="3" t="n">
        <v>2</v>
      </c>
      <c r="J9" s="3" t="n">
        <v>1</v>
      </c>
      <c r="K9" s="2" t="inlineStr">
        <is>
          <t>华工正源马来西亚工厂，公开表述为规避地缘风险，直接案例</t>
        </is>
      </c>
      <c r="L9" s="2" t="inlineStr">
        <is>
          <t>C114通信网</t>
        </is>
      </c>
      <c r="M9" s="2" t="inlineStr">
        <is>
          <t>Company Intelligence</t>
        </is>
      </c>
      <c r="N9" s="2" t="inlineStr">
        <is>
          <t>supply_chain</t>
        </is>
      </c>
      <c r="O9" s="2" t="inlineStr">
        <is>
          <t>RELOC_004; RETURN_001; PLUS1_004; 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10">
      <c r="A10" s="2" t="inlineStr">
        <is>
          <t>Q002</t>
        </is>
      </c>
      <c r="B10" s="2" t="n">
        <v>4</v>
      </c>
      <c r="C10" s="2" t="inlineStr">
        <is>
          <t>PLUS1_004</t>
        </is>
      </c>
      <c r="D10" s="2" t="inlineStr">
        <is>
          <t>晶科能源 JinkoSolar：China + 1 战略（多地区混合布局）</t>
        </is>
      </c>
      <c r="E10" s="2" t="inlineStr">
        <is>
          <t>供应链布局</t>
        </is>
      </c>
      <c r="F10" s="2" t="inlineStr">
        <is>
          <t>B+</t>
        </is>
      </c>
      <c r="G10" s="2" t="n">
        <v>2</v>
      </c>
      <c r="H10" s="2" t="n">
        <v>1</v>
      </c>
      <c r="I10" s="3" t="n">
        <v>1</v>
      </c>
      <c r="J10" s="3" t="n">
        <v>1</v>
      </c>
      <c r="K10" s="2" t="inlineStr">
        <is>
          <t>晶科含马来西亚枢纽，但为光伏多地区结构，非马来西亚布局主案例 ｜ 人工判定与Auto(2)不同，请复核</t>
        </is>
      </c>
      <c r="L10" s="2" t="inlineStr">
        <is>
          <t>东方财富财富号</t>
        </is>
      </c>
      <c r="M10" s="2" t="inlineStr">
        <is>
          <t>Company Intelligence</t>
        </is>
      </c>
      <c r="N10" s="2" t="inlineStr">
        <is>
          <t>supply_chain</t>
        </is>
      </c>
      <c r="O10" s="2" t="inlineStr">
        <is>
          <t>RELOC_004; RETURN_001; PLUS1_004; 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 一、决策前状态（Initial Situation） 生产布局：硅片—电池—组件一体化产能以中国为核心。 主要市场：全球（中国、欧洲、美国、新兴市场）。 供应链结构：硅料、硅片主要在中国，组件通过海外基地与出口进入欧美。 面临的问题：美国对东南亚四国光伏产品的双反与反规避调查，使'中国—东南亚—美国'路径的关税优势不稳定（参见 Task 1 的 CASE_002/CASE_003）。 ## 二、决策触发（Decision Trigger） 触发类型：tariff_pressure（关税压力） 触发细节：美国对东南亚光伏组件的双反/反规避认定，以及美</t>
        </is>
      </c>
    </row>
    <row r="11">
      <c r="A11" s="2" t="inlineStr">
        <is>
          <t>Q002</t>
        </is>
      </c>
      <c r="B11" s="2" t="n">
        <v>5</v>
      </c>
      <c r="C11" s="2" t="inlineStr">
        <is>
          <t>CASE_010</t>
        </is>
      </c>
      <c r="D11" s="2" t="inlineStr">
        <is>
          <t>白宫点名东南亚为非法转运高风险地区，并推出AI执法工具</t>
        </is>
      </c>
      <c r="E11" s="2" t="inlineStr">
        <is>
          <t>原产地与转运</t>
        </is>
      </c>
      <c r="F11" s="2" t="inlineStr">
        <is>
          <t>S</t>
        </is>
      </c>
      <c r="G11" s="2" t="n">
        <v>2</v>
      </c>
      <c r="H11" s="2" t="n">
        <v>2</v>
      </c>
      <c r="I11" s="3" t="n">
        <v>2</v>
      </c>
      <c r="J11" s="3" t="n">
        <v>2</v>
      </c>
      <c r="K11" s="2" t="inlineStr">
        <is>
          <t>白宫点名东南亚（含马来西亚）为转运高风险，美国官方判断</t>
        </is>
      </c>
      <c r="L11" s="2" t="inlineStr">
        <is>
          <t>美国白宫（经律所解读）</t>
        </is>
      </c>
      <c r="M11" s="2" t="inlineStr">
        <is>
          <t>Company Intelligence</t>
        </is>
      </c>
      <c r="N11" s="2" t="inlineStr">
        <is>
          <t>supply_chain</t>
        </is>
      </c>
      <c r="O11" s="2" t="inlineStr">
        <is>
          <t>RELOC_004; RETURN_001; PLUS1_004; 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RETURN_001; RETURN_002; RETURN_003; RETURN_004</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RETURN_001</t>
        </is>
      </c>
      <c r="D13" s="2" t="inlineStr">
        <is>
          <t>恩捷股份 Yunnan Energy New Material (Semcorp)：重新评估 / 回流中国（提高中国生产比例）</t>
        </is>
      </c>
      <c r="E13" s="2" t="inlineStr">
        <is>
          <t>供应链布局</t>
        </is>
      </c>
      <c r="F13" s="2" t="inlineStr">
        <is>
          <t>S</t>
        </is>
      </c>
      <c r="G13" s="2" t="n">
        <v>2</v>
      </c>
      <c r="H13" s="2" t="n">
        <v>2</v>
      </c>
      <c r="I13" s="3" t="n">
        <v>2</v>
      </c>
      <c r="J13" s="3" t="n">
        <v>2</v>
      </c>
      <c r="K13" s="2" t="inlineStr">
        <is>
          <t>终止马来西亚项目、资源回投国内，直接回流实例</t>
        </is>
      </c>
      <c r="L13" s="2" t="inlineStr">
        <is>
          <t>恩捷股份公告（经东方财富网 / 央广网报道）</t>
        </is>
      </c>
      <c r="M13" s="2" t="inlineStr">
        <is>
          <t>Company Intelligence</t>
        </is>
      </c>
      <c r="N13" s="2" t="inlineStr">
        <is>
          <t>supply_chain</t>
        </is>
      </c>
      <c r="O13" s="2" t="inlineStr">
        <is>
          <t>CASE_001; RETURN_001; RETURN_002; RETURN_003; RETURN_004</t>
        </is>
      </c>
      <c r="P13" s="2" t="inlineStr">
        <is>
          <t>我们想判断企业是否会因为关税规避型海外迁移效果不佳而回流中国。现有案例中有没有订单先转移海外、随后回流并放弃海外建厂的实例？</t>
        </is>
      </c>
      <c r="Q13" s="2" t="inlineStr">
        <is>
          <t>Evidence ID: RETURN_001 Title: 恩捷股份 Yunnan Energy New Material (Semcorp)：重新评估 / 回流中国（提高中国生产比例） Publisher: 恩捷股份公告（经东方财富网 / 央广网报道） Country/Jurisdiction: CN/MY Publication date: 2026-05-22 Status: CURRENT Topic: 供应链布局 Applicability scope: GENERAL Related industries: 电池材料 Claim: 2026</t>
        </is>
      </c>
    </row>
    <row r="14">
      <c r="A14" s="2" t="inlineStr">
        <is>
          <t>Q003</t>
        </is>
      </c>
      <c r="B14" s="2" t="n">
        <v>3</v>
      </c>
      <c r="C14" s="2" t="inlineStr">
        <is>
          <t>RETURN_004</t>
        </is>
      </c>
      <c r="D14" s="2" t="inlineStr">
        <is>
          <t>蜂巢能源 SVOLT（欧洲业务）：重新评估 / 回流中国（维持现有海外布局（收缩新增））</t>
        </is>
      </c>
      <c r="E14" s="2" t="inlineStr">
        <is>
          <t>供应链布局</t>
        </is>
      </c>
      <c r="F14" s="2" t="inlineStr">
        <is>
          <t>B+</t>
        </is>
      </c>
      <c r="G14" s="2" t="n">
        <v>2</v>
      </c>
      <c r="H14" s="2" t="n">
        <v>1</v>
      </c>
      <c r="I14" s="3" t="n">
        <v>2</v>
      </c>
      <c r="J14" s="3" t="n">
        <v>1</v>
      </c>
      <c r="K14" s="2" t="inlineStr">
        <is>
          <t>停建德国工厂、终止欧洲业务，资源集中中国，直接实例</t>
        </is>
      </c>
      <c r="L14" s="2" t="inlineStr">
        <is>
          <t>36氪 / 财新网</t>
        </is>
      </c>
      <c r="M14" s="2" t="inlineStr">
        <is>
          <t>Company Intelligence</t>
        </is>
      </c>
      <c r="N14" s="2" t="inlineStr">
        <is>
          <t>supply_chain</t>
        </is>
      </c>
      <c r="O14" s="2" t="inlineStr">
        <is>
          <t>CASE_001; RETURN_001; RETURN_002; RETURN_003; RETURN_004</t>
        </is>
      </c>
      <c r="P14" s="2" t="inlineStr">
        <is>
          <t>我们想判断企业是否会因为关税规避型海外迁移效果不佳而回流中国。现有案例中有没有订单先转移海外、随后回流并放弃海外建厂的实例？</t>
        </is>
      </c>
      <c r="Q14"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15">
      <c r="A15" s="2" t="inlineStr">
        <is>
          <t>Q003</t>
        </is>
      </c>
      <c r="B15" s="2" t="n">
        <v>4</v>
      </c>
      <c r="C15" s="2" t="inlineStr">
        <is>
          <t>RETURN_003</t>
        </is>
      </c>
      <c r="D15" s="2" t="inlineStr">
        <is>
          <t>制造业外迁企业（行业层面）：重新评估 / 回流中国（提高中国生产比例）</t>
        </is>
      </c>
      <c r="E15" s="2" t="inlineStr">
        <is>
          <t>供应链布局</t>
        </is>
      </c>
      <c r="F15" s="2" t="inlineStr">
        <is>
          <t>B+</t>
        </is>
      </c>
      <c r="G15" s="2" t="n">
        <v>2</v>
      </c>
      <c r="H15" s="2" t="n">
        <v>1</v>
      </c>
      <c r="I15" s="3" t="n">
        <v>2</v>
      </c>
      <c r="J15" s="3" t="n">
        <v>1</v>
      </c>
      <c r="K15" s="2" t="inlineStr">
        <is>
          <t>行业层面订单与产能回流中国，直接实例</t>
        </is>
      </c>
      <c r="L15" s="2" t="inlineStr">
        <is>
          <t>路透社（经环球网 / 新浪转载）</t>
        </is>
      </c>
      <c r="M15" s="2" t="inlineStr">
        <is>
          <t>Company Intelligence</t>
        </is>
      </c>
      <c r="N15" s="2" t="inlineStr">
        <is>
          <t>supply_chain</t>
        </is>
      </c>
      <c r="O15" s="2" t="inlineStr">
        <is>
          <t>CASE_001; RETURN_001; RETURN_002; RETURN_003; RETURN_004</t>
        </is>
      </c>
      <c r="P15" s="2" t="inlineStr">
        <is>
          <t>我们想判断企业是否会因为关税规避型海外迁移效果不佳而回流中国。现有案例中有没有订单先转移海外、随后回流并放弃海外建厂的实例？</t>
        </is>
      </c>
      <c r="Q15" s="2" t="inlineStr">
        <is>
          <t>Evidence ID: RETURN_003 Title: 制造业外迁企业（行业层面）：重新评估 / 回流中国（提高中国生产比例） Publisher: 路透社（经环球网 / 新浪转载） Country/Jurisdiction: CN/VN/TH/IN Publication date: 2026-09-14 Status: CURRENT Topic: 供应链布局 Applicability scope: GENERAL Related industries: 通用制造 Claim: 部分跨国企业将订单与产能重新回流中国，同时保留东南亚既有布局，形</t>
        </is>
      </c>
    </row>
    <row r="16">
      <c r="A16" s="2" t="inlineStr">
        <is>
          <t>Q003</t>
        </is>
      </c>
      <c r="B16" s="2" t="n">
        <v>5</v>
      </c>
      <c r="C16" s="2" t="inlineStr">
        <is>
          <t>RELOC_006</t>
        </is>
      </c>
      <c r="D16" s="2" t="inlineStr">
        <is>
          <t>蜂巢能源 SVOLT：中国 → 东南亚转移（多地区混合布局）</t>
        </is>
      </c>
      <c r="E16" s="2" t="inlineStr">
        <is>
          <t>供应链布局</t>
        </is>
      </c>
      <c r="F16" s="2" t="inlineStr">
        <is>
          <t>B+</t>
        </is>
      </c>
      <c r="G16" s="2" t="n">
        <v>1</v>
      </c>
      <c r="H16" s="2" t="n">
        <v>1</v>
      </c>
      <c r="I16" s="3" t="n">
        <v>0</v>
      </c>
      <c r="J16" s="3" t="n">
        <v>1</v>
      </c>
      <c r="K16" s="2" t="inlineStr">
        <is>
          <t>泰国建厂案例，非回流 ｜ 人工判定与Auto(1)不同，请复核</t>
        </is>
      </c>
      <c r="L16" s="2" t="inlineStr">
        <is>
          <t>澎湃新闻</t>
        </is>
      </c>
      <c r="M16" s="2" t="inlineStr">
        <is>
          <t>Company Intelligence</t>
        </is>
      </c>
      <c r="N16" s="2" t="inlineStr">
        <is>
          <t>supply_chain</t>
        </is>
      </c>
      <c r="O16" s="2" t="inlineStr">
        <is>
          <t>CASE_001; RETURN_001; RETURN_002; RETURN_003; RETURN_004</t>
        </is>
      </c>
      <c r="P16" s="2" t="inlineStr">
        <is>
          <t>我们想判断企业是否会因为关税规避型海外迁移效果不佳而回流中国。现有案例中有没有订单先转移海外、随后回流并放弃海外建厂的实例？</t>
        </is>
      </c>
      <c r="Q16"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17">
      <c r="A17" s="2" t="inlineStr">
        <is>
          <t>Q004</t>
        </is>
      </c>
      <c r="B17" s="2" t="n">
        <v>1</v>
      </c>
      <c r="C17" s="2" t="inlineStr">
        <is>
          <t>RELOC_005</t>
        </is>
      </c>
      <c r="D17" s="2" t="inlineStr">
        <is>
          <t>欣旺达 Sunwoda：中国 → 东南亚转移（多地区混合布局）</t>
        </is>
      </c>
      <c r="E17" s="2" t="inlineStr">
        <is>
          <t>供应链布局</t>
        </is>
      </c>
      <c r="F17" s="2" t="inlineStr">
        <is>
          <t>B+</t>
        </is>
      </c>
      <c r="G17" s="2" t="n">
        <v>2</v>
      </c>
      <c r="H17" s="2" t="n">
        <v>1</v>
      </c>
      <c r="I17" s="3" t="n">
        <v>2</v>
      </c>
      <c r="J17" s="3" t="n">
        <v>1</v>
      </c>
      <c r="K17" s="2" t="inlineStr">
        <is>
          <t>越南扩产以规避关税，服务海外客户的布局案例</t>
        </is>
      </c>
      <c r="L17" s="2" t="inlineStr">
        <is>
          <t>东方财富网 / 腾讯新闻</t>
        </is>
      </c>
      <c r="M17" s="2" t="inlineStr">
        <is>
          <t>Company Intelligence</t>
        </is>
      </c>
      <c r="N17" s="2" t="inlineStr">
        <is>
          <t>supply_chain</t>
        </is>
      </c>
      <c r="O17" s="2" t="inlineStr">
        <is>
          <t>CASE_004; CASE_005; CASE_006; CASE_007; CASE_008; RELOC_003; RELOC_004; RELOC_005; RELOC_006</t>
        </is>
      </c>
      <c r="P17" s="2" t="inlineStr">
        <is>
          <t>对于计划在东南亚扩产、服务欧美客户的制造企业，现有企业案例如何说明海外工厂布局与客户合作/地缘风险之间的关系？</t>
        </is>
      </c>
      <c r="Q17"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18">
      <c r="A18" s="2" t="inlineStr">
        <is>
          <t>Q004</t>
        </is>
      </c>
      <c r="B18" s="2" t="n">
        <v>2</v>
      </c>
      <c r="C18" s="2" t="inlineStr">
        <is>
          <t>RELOC_004</t>
        </is>
      </c>
      <c r="D18" s="2" t="inlineStr">
        <is>
          <t>亿纬锂能 EVE Energy：中国 → 东南亚转移（多地区混合布局）</t>
        </is>
      </c>
      <c r="E18" s="2" t="inlineStr">
        <is>
          <t>供应链布局</t>
        </is>
      </c>
      <c r="F18" s="2" t="inlineStr">
        <is>
          <t>B+</t>
        </is>
      </c>
      <c r="G18" s="2" t="n">
        <v>2</v>
      </c>
      <c r="H18" s="2" t="n">
        <v>1</v>
      </c>
      <c r="I18" s="3" t="n">
        <v>2</v>
      </c>
      <c r="J18" s="3" t="n">
        <v>1</v>
      </c>
      <c r="K18" s="2" t="inlineStr">
        <is>
          <t>马来西亚制造—欧美市场的结构，直接说明布局与客户关系</t>
        </is>
      </c>
      <c r="L18" s="2" t="inlineStr">
        <is>
          <t>新浪财经</t>
        </is>
      </c>
      <c r="M18" s="2" t="inlineStr">
        <is>
          <t>Company Intelligence</t>
        </is>
      </c>
      <c r="N18" s="2" t="inlineStr">
        <is>
          <t>supply_chain</t>
        </is>
      </c>
      <c r="O18" s="2" t="inlineStr">
        <is>
          <t>CASE_004; CASE_005; CASE_006; CASE_007; CASE_008; RELOC_003; RELOC_004; RELOC_005; RELOC_006</t>
        </is>
      </c>
      <c r="P18" s="2" t="inlineStr">
        <is>
          <t>对于计划在东南亚扩产、服务欧美客户的制造企业，现有企业案例如何说明海外工厂布局与客户合作/地缘风险之间的关系？</t>
        </is>
      </c>
      <c r="Q18"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19">
      <c r="A19" s="2" t="inlineStr">
        <is>
          <t>Q004</t>
        </is>
      </c>
      <c r="B19" s="2" t="n">
        <v>3</v>
      </c>
      <c r="C19" s="2" t="inlineStr">
        <is>
          <t>RELOC_003</t>
        </is>
      </c>
      <c r="D19" s="2" t="inlineStr">
        <is>
          <t>国轩高科 Gotion High-Tech：中国 → 东南亚转移（多地区混合布局）</t>
        </is>
      </c>
      <c r="E19" s="2" t="inlineStr">
        <is>
          <t>供应链布局</t>
        </is>
      </c>
      <c r="F19" s="2" t="inlineStr">
        <is>
          <t>B+</t>
        </is>
      </c>
      <c r="G19" s="2" t="n">
        <v>2</v>
      </c>
      <c r="H19" s="2" t="n">
        <v>1</v>
      </c>
      <c r="I19" s="3" t="n">
        <v>2</v>
      </c>
      <c r="J19" s="3" t="n">
        <v>1</v>
      </c>
      <c r="K19" s="2" t="inlineStr">
        <is>
          <t>越南电池基地服务海外客户，布局案例</t>
        </is>
      </c>
      <c r="L19" s="2" t="inlineStr">
        <is>
          <t>澎湃新闻 / 盖世汽车社区</t>
        </is>
      </c>
      <c r="M19" s="2" t="inlineStr">
        <is>
          <t>Company Intelligence</t>
        </is>
      </c>
      <c r="N19" s="2" t="inlineStr">
        <is>
          <t>supply_chain</t>
        </is>
      </c>
      <c r="O19" s="2" t="inlineStr">
        <is>
          <t>CASE_004; CASE_005; CASE_006; CASE_007; CASE_008; RELOC_003; RELOC_004; RELOC_005; RELOC_006</t>
        </is>
      </c>
      <c r="P19" s="2" t="inlineStr">
        <is>
          <t>对于计划在东南亚扩产、服务欧美客户的制造企业，现有企业案例如何说明海外工厂布局与客户合作/地缘风险之间的关系？</t>
        </is>
      </c>
      <c r="Q19" s="2" t="inlineStr">
        <is>
          <t>Evidence ID: RELOC_003 Title: 国轩高科 Gotion High-Tech：中国 → 东南亚转移（多地区混合布局） Publisher: 澎湃新闻 / 盖世汽车社区 Country/Jurisdiction: CN/VN Publication date: 2022-11-19 Status: CURRENT Topic: 供应链布局 Applicability scope: GENERAL Related industries: 动力电池 Claim: 与 Vingroup 旗下 VinES 合资（国轩 51% / VinE</t>
        </is>
      </c>
    </row>
    <row r="20">
      <c r="A20" s="2" t="inlineStr">
        <is>
          <t>Q004</t>
        </is>
      </c>
      <c r="B20" s="2" t="n">
        <v>4</v>
      </c>
      <c r="C20" s="2" t="inlineStr">
        <is>
          <t>RELOC_006</t>
        </is>
      </c>
      <c r="D20" s="2" t="inlineStr">
        <is>
          <t>蜂巢能源 SVOLT：中国 → 东南亚转移（多地区混合布局）</t>
        </is>
      </c>
      <c r="E20" s="2" t="inlineStr">
        <is>
          <t>供应链布局</t>
        </is>
      </c>
      <c r="F20" s="2" t="inlineStr">
        <is>
          <t>B+</t>
        </is>
      </c>
      <c r="G20" s="2" t="n">
        <v>2</v>
      </c>
      <c r="H20" s="2" t="n">
        <v>1</v>
      </c>
      <c r="I20" s="3" t="n">
        <v>2</v>
      </c>
      <c r="J20" s="3" t="n">
        <v>1</v>
      </c>
      <c r="K20" s="2" t="inlineStr">
        <is>
          <t>泰国电池厂配套中国车企在泰车型，布局与客户关系直接</t>
        </is>
      </c>
      <c r="L20" s="2" t="inlineStr">
        <is>
          <t>澎湃新闻</t>
        </is>
      </c>
      <c r="M20" s="2" t="inlineStr">
        <is>
          <t>Company Intelligence</t>
        </is>
      </c>
      <c r="N20" s="2" t="inlineStr">
        <is>
          <t>supply_chain</t>
        </is>
      </c>
      <c r="O20" s="2" t="inlineStr">
        <is>
          <t>CASE_004; CASE_005; CASE_006; CASE_007; CASE_008; RELOC_003; RELOC_004; RELOC_005; RELOC_006</t>
        </is>
      </c>
      <c r="P20" s="2" t="inlineStr">
        <is>
          <t>对于计划在东南亚扩产、服务欧美客户的制造企业，现有企业案例如何说明海外工厂布局与客户合作/地缘风险之间的关系？</t>
        </is>
      </c>
      <c r="Q20"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21">
      <c r="A21" s="2" t="inlineStr">
        <is>
          <t>Q004</t>
        </is>
      </c>
      <c r="B21" s="2" t="n">
        <v>5</v>
      </c>
      <c r="C21" s="2" t="inlineStr">
        <is>
          <t>RETURN_001</t>
        </is>
      </c>
      <c r="D21" s="2" t="inlineStr">
        <is>
          <t>恩捷股份 Yunnan Energy New Material (Semcorp)：重新评估 / 回流中国（提高中国生产比例）</t>
        </is>
      </c>
      <c r="E21" s="2" t="inlineStr">
        <is>
          <t>供应链布局</t>
        </is>
      </c>
      <c r="F21" s="2" t="inlineStr">
        <is>
          <t>S</t>
        </is>
      </c>
      <c r="G21" s="2" t="n">
        <v>1</v>
      </c>
      <c r="H21" s="2" t="n">
        <v>2</v>
      </c>
      <c r="I21" s="3" t="n">
        <v>1</v>
      </c>
      <c r="J21" s="3" t="n">
        <v>2</v>
      </c>
      <c r="K21" s="2" t="inlineStr">
        <is>
          <t>回流案例，说明海外布局风险，但非“东南亚扩产服务欧美客户”的直接说明</t>
        </is>
      </c>
      <c r="L21" s="2" t="inlineStr">
        <is>
          <t>恩捷股份公告（经东方财富网 / 央广网报道）</t>
        </is>
      </c>
      <c r="M21" s="2" t="inlineStr">
        <is>
          <t>Company Intelligence</t>
        </is>
      </c>
      <c r="N21" s="2" t="inlineStr">
        <is>
          <t>supply_chain</t>
        </is>
      </c>
      <c r="O21" s="2" t="inlineStr">
        <is>
          <t>CASE_004; CASE_005; CASE_006; CASE_007; CASE_008; RELOC_003; RELOC_004; RELOC_005; RELOC_006</t>
        </is>
      </c>
      <c r="P21" s="2" t="inlineStr">
        <is>
          <t>对于计划在东南亚扩产、服务欧美客户的制造企业，现有企业案例如何说明海外工厂布局与客户合作/地缘风险之间的关系？</t>
        </is>
      </c>
      <c r="Q2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RELOC_005</t>
        </is>
      </c>
      <c r="D25" s="2" t="inlineStr">
        <is>
          <t>欣旺达 Sunwoda：中国 → 东南亚转移（多地区混合布局）</t>
        </is>
      </c>
      <c r="E25" s="2" t="inlineStr">
        <is>
          <t>供应链布局</t>
        </is>
      </c>
      <c r="F25" s="2" t="inlineStr">
        <is>
          <t>B+</t>
        </is>
      </c>
      <c r="G25" s="2" t="n">
        <v>1</v>
      </c>
      <c r="H25" s="2" t="n">
        <v>1</v>
      </c>
      <c r="I25" s="3" t="n">
        <v>0</v>
      </c>
      <c r="J25" s="3" t="n">
        <v>1</v>
      </c>
      <c r="K25" s="2" t="inlineStr">
        <is>
          <t>越南消费电池建厂案例，与规避认定无关 ｜ 人工判定与Auto(1)不同，请复核</t>
        </is>
      </c>
      <c r="L25" s="2" t="inlineStr">
        <is>
          <t>东方财富网 / 腾讯新闻</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26">
      <c r="A26" s="2" t="inlineStr">
        <is>
          <t>Q005</t>
        </is>
      </c>
      <c r="B26" s="2" t="n">
        <v>5</v>
      </c>
      <c r="C26" s="2" t="inlineStr">
        <is>
          <t>RETURN_001</t>
        </is>
      </c>
      <c r="D26" s="2" t="inlineStr">
        <is>
          <t>恩捷股份 Yunnan Energy New Material (Semcorp)：重新评估 / 回流中国（提高中国生产比例）</t>
        </is>
      </c>
      <c r="E26" s="2" t="inlineStr">
        <is>
          <t>供应链布局</t>
        </is>
      </c>
      <c r="F26" s="2" t="inlineStr">
        <is>
          <t>S</t>
        </is>
      </c>
      <c r="G26" s="2" t="n">
        <v>1</v>
      </c>
      <c r="H26" s="2" t="n">
        <v>2</v>
      </c>
      <c r="I26" s="3" t="n">
        <v>0</v>
      </c>
      <c r="J26" s="3" t="n">
        <v>2</v>
      </c>
      <c r="K26" s="2" t="inlineStr">
        <is>
          <t>终止海外项目案例，与规避认定无关 ｜ 人工判定与Auto(1)不同，请复核</t>
        </is>
      </c>
      <c r="L26" s="2" t="inlineStr">
        <is>
          <t>恩捷股份公告（经东方财富网 / 央广网报道）</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27">
      <c r="A27" s="2" t="inlineStr">
        <is>
          <t>Q006</t>
        </is>
      </c>
      <c r="B27" s="2" t="n">
        <v>1</v>
      </c>
      <c r="C27" s="2" t="inlineStr">
        <is>
          <t>BIS_001</t>
        </is>
      </c>
      <c r="D27" s="2" t="inlineStr">
        <is>
          <t>Expansion of End-User Controls to Cover Affiliates of Certain Listed Entities（关联企业规则 / 50%穿透规则，临时最终规则）</t>
        </is>
      </c>
      <c r="E27" s="2" t="inlineStr">
        <is>
          <t>出口管制</t>
        </is>
      </c>
      <c r="F27" s="2" t="inlineStr">
        <is>
          <t>S</t>
        </is>
      </c>
      <c r="G27" s="2" t="n">
        <v>2</v>
      </c>
      <c r="H27" s="2" t="n">
        <v>2</v>
      </c>
      <c r="I27" s="3" t="n">
        <v>2</v>
      </c>
      <c r="J27" s="3" t="n">
        <v>2</v>
      </c>
      <c r="K27" s="2" t="inlineStr">
        <is>
          <t>50%穿透规则原文，直接回答美方规则</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8">
      <c r="A28" s="2" t="inlineStr">
        <is>
          <t>Q006</t>
        </is>
      </c>
      <c r="B28" s="2" t="n">
        <v>2</v>
      </c>
      <c r="C28" s="2" t="inlineStr">
        <is>
          <t>BIS_002</t>
        </is>
      </c>
      <c r="D28" s="2" t="inlineStr">
        <is>
          <t>One Year Suspension of Expansion of End-User Controls for Affiliates of Certain Listed Entities（关联企业规则暂停一年）</t>
        </is>
      </c>
      <c r="E28" s="2" t="inlineStr">
        <is>
          <t>出口管制</t>
        </is>
      </c>
      <c r="F28" s="2" t="inlineStr">
        <is>
          <t>S</t>
        </is>
      </c>
      <c r="G28" s="2" t="n">
        <v>2</v>
      </c>
      <c r="H28" s="2" t="n">
        <v>2</v>
      </c>
      <c r="I28" s="3" t="n">
        <v>2</v>
      </c>
      <c r="J28" s="3" t="n">
        <v>2</v>
      </c>
      <c r="K28" s="2" t="inlineStr">
        <is>
          <t>暂停令，直接回答暂停措施</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9">
      <c r="A29" s="2" t="inlineStr">
        <is>
          <t>Q006</t>
        </is>
      </c>
      <c r="B29" s="2" t="n">
        <v>3</v>
      </c>
      <c r="C29" s="2" t="inlineStr">
        <is>
          <t>MOFCOM_001</t>
        </is>
      </c>
      <c r="D29" s="2" t="inlineStr">
        <is>
          <t>2026年度《两用物项和技术进出口许可证管理目录》</t>
        </is>
      </c>
      <c r="E29" s="2" t="inlineStr">
        <is>
          <t>出口管制</t>
        </is>
      </c>
      <c r="F29" s="2" t="inlineStr">
        <is>
          <t>S</t>
        </is>
      </c>
      <c r="G29" s="2" t="n">
        <v>2</v>
      </c>
      <c r="H29" s="2" t="n">
        <v>2</v>
      </c>
      <c r="I29" s="3" t="n">
        <v>2</v>
      </c>
      <c r="J29" s="3" t="n">
        <v>2</v>
      </c>
      <c r="K29" s="2" t="inlineStr">
        <is>
          <t>中国两用物项目录，直接回答核查范围</t>
        </is>
      </c>
      <c r="L29" s="2" t="inlineStr">
        <is>
          <t>商务部、海关总署</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MOFCOM_002</t>
        </is>
      </c>
      <c r="D31" s="2" t="inlineStr">
        <is>
          <t>商务部公告2025年第72号（暂停实施2024年第46号公告第二款，涉及对美两用物项出口管制）</t>
        </is>
      </c>
      <c r="E31" s="2" t="inlineStr">
        <is>
          <t>出口管制</t>
        </is>
      </c>
      <c r="F31" s="2" t="inlineStr">
        <is>
          <t>S</t>
        </is>
      </c>
      <c r="G31" s="2" t="n">
        <v>2</v>
      </c>
      <c r="H31" s="2" t="n">
        <v>2</v>
      </c>
      <c r="I31" s="3" t="n">
        <v>2</v>
      </c>
      <c r="J31" s="3" t="n">
        <v>2</v>
      </c>
      <c r="K31" s="2" t="inlineStr">
        <is>
          <t>暂停措施涉及镓、锗、石墨，直接回答</t>
        </is>
      </c>
      <c r="L31" s="2" t="inlineStr">
        <is>
          <t>商务部</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FR_001</t>
        </is>
      </c>
      <c r="D36" s="2" t="inlineStr">
        <is>
          <t>Federal Register API（美国联邦公报）</t>
        </is>
      </c>
      <c r="E36" s="2" t="inlineStr">
        <is>
          <t>出口管制/关税</t>
        </is>
      </c>
      <c r="F36" s="2" t="inlineStr">
        <is>
          <t>S</t>
        </is>
      </c>
      <c r="G36" s="2" t="n">
        <v>1</v>
      </c>
      <c r="H36" s="2" t="n">
        <v>2</v>
      </c>
      <c r="I36" s="3" t="n">
        <v>1</v>
      </c>
      <c r="J36" s="3" t="n">
        <v>2</v>
      </c>
      <c r="K36" s="2" t="inlineStr">
        <is>
          <t>新规监测入口，非穿透判断本身</t>
        </is>
      </c>
      <c r="L36" s="2" t="inlineStr">
        <is>
          <t>美国国家档案馆联邦公报办公室</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ITA_001</t>
        </is>
      </c>
      <c r="D40" s="2" t="inlineStr">
        <is>
          <t>Consolidated Screening List API（美国合并筛查清单）</t>
        </is>
      </c>
      <c r="E40" s="2" t="inlineStr">
        <is>
          <t>出口管制</t>
        </is>
      </c>
      <c r="F40" s="2" t="inlineStr">
        <is>
          <t>S</t>
        </is>
      </c>
      <c r="G40" s="2" t="n">
        <v>1</v>
      </c>
      <c r="H40" s="2" t="n">
        <v>2</v>
      </c>
      <c r="I40" s="3" t="n">
        <v>1</v>
      </c>
      <c r="J40" s="3" t="n">
        <v>2</v>
      </c>
      <c r="K40" s="2" t="inlineStr">
        <is>
          <t>筛查数据源，对窗口风险为辅助</t>
        </is>
      </c>
      <c r="L40" s="2" t="inlineStr">
        <is>
          <t>美国国际贸易管理局（ITA）</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41">
      <c r="A41" s="2" t="inlineStr">
        <is>
          <t>Q008</t>
        </is>
      </c>
      <c r="B41" s="2" t="n">
        <v>5</v>
      </c>
      <c r="C41" s="2" t="inlineStr">
        <is>
          <t>MOFCOM_002</t>
        </is>
      </c>
      <c r="D41" s="2" t="inlineStr">
        <is>
          <t>商务部公告2025年第72号（暂停实施2024年第46号公告第二款，涉及对美两用物项出口管制）</t>
        </is>
      </c>
      <c r="E41" s="2" t="inlineStr">
        <is>
          <t>出口管制</t>
        </is>
      </c>
      <c r="F41" s="2" t="inlineStr">
        <is>
          <t>S</t>
        </is>
      </c>
      <c r="G41" s="2" t="n">
        <v>1</v>
      </c>
      <c r="H41" s="2" t="n">
        <v>2</v>
      </c>
      <c r="I41" s="3" t="n">
        <v>1</v>
      </c>
      <c r="J41" s="3" t="n">
        <v>2</v>
      </c>
      <c r="K41" s="2" t="inlineStr">
        <is>
          <t>中国侧暂停措施，机制不同，仅辅助</t>
        </is>
      </c>
      <c r="L41" s="2" t="inlineStr">
        <is>
          <t>商务部</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42">
      <c r="A42" s="2" t="inlineStr">
        <is>
          <t>Q009</t>
        </is>
      </c>
      <c r="B42" s="2" t="n">
        <v>1</v>
      </c>
      <c r="C42" s="2" t="inlineStr">
        <is>
          <t>WH_002</t>
        </is>
      </c>
      <c r="D42" s="2" t="inlineStr">
        <is>
          <t>The Great Transshipment Scam: Rise, Scope, and Costs（白宫非法转运报告）</t>
        </is>
      </c>
      <c r="E42" s="2" t="inlineStr">
        <is>
          <t>原产地与转运</t>
        </is>
      </c>
      <c r="F42" s="2" t="inlineStr">
        <is>
          <t>S</t>
        </is>
      </c>
      <c r="G42" s="2" t="n">
        <v>2</v>
      </c>
      <c r="H42" s="2" t="n">
        <v>2</v>
      </c>
      <c r="I42" s="3" t="n">
        <v>2</v>
      </c>
      <c r="J42" s="3" t="n">
        <v>2</v>
      </c>
      <c r="K42" s="2" t="inlineStr">
        <is>
          <t>白宫转运报告，政策方向直接证据</t>
        </is>
      </c>
      <c r="L42" s="2" t="inlineStr">
        <is>
          <t>美国白宫贸易与制造业政策办公室</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3">
      <c r="A43" s="2" t="inlineStr">
        <is>
          <t>Q009</t>
        </is>
      </c>
      <c r="B43" s="2" t="n">
        <v>2</v>
      </c>
      <c r="C43" s="2" t="inlineStr">
        <is>
          <t>CASE_010</t>
        </is>
      </c>
      <c r="D43" s="2" t="inlineStr">
        <is>
          <t>白宫点名东南亚为非法转运高风险地区，并推出AI执法工具</t>
        </is>
      </c>
      <c r="E43" s="2" t="inlineStr">
        <is>
          <t>原产地与转运</t>
        </is>
      </c>
      <c r="F43" s="2" t="inlineStr">
        <is>
          <t>S</t>
        </is>
      </c>
      <c r="G43" s="2" t="n">
        <v>2</v>
      </c>
      <c r="H43" s="2" t="n">
        <v>2</v>
      </c>
      <c r="I43" s="3" t="n">
        <v>2</v>
      </c>
      <c r="J43" s="3" t="n">
        <v>2</v>
      </c>
      <c r="K43" s="2" t="inlineStr">
        <is>
          <t>点名越/泰/马为转运高风险，直接</t>
        </is>
      </c>
      <c r="L43" s="2" t="inlineStr">
        <is>
          <t>美国白宫（经律所解读）</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RETURN_004</t>
        </is>
      </c>
      <c r="D48" s="2" t="inlineStr">
        <is>
          <t>蜂巢能源 SVOLT（欧洲业务）：重新评估 / 回流中国（维持现有海外布局（收缩新增））</t>
        </is>
      </c>
      <c r="E48" s="2" t="inlineStr">
        <is>
          <t>供应链布局</t>
        </is>
      </c>
      <c r="F48" s="2" t="inlineStr">
        <is>
          <t>B+</t>
        </is>
      </c>
      <c r="G48" s="2" t="n">
        <v>1</v>
      </c>
      <c r="H48" s="2" t="n">
        <v>1</v>
      </c>
      <c r="I48" s="3" t="n">
        <v>0</v>
      </c>
      <c r="J48" s="3" t="n">
        <v>1</v>
      </c>
      <c r="K48" s="2" t="inlineStr">
        <is>
          <t>欧洲业务收缩，与该假设无关 ｜ 人工判定与Auto(1)不同，请复核</t>
        </is>
      </c>
      <c r="L48" s="2" t="inlineStr">
        <is>
          <t>36氪 / 财新网</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49">
      <c r="A49" s="2" t="inlineStr">
        <is>
          <t>Q010</t>
        </is>
      </c>
      <c r="B49" s="2" t="n">
        <v>3</v>
      </c>
      <c r="C49" s="2" t="inlineStr">
        <is>
          <t>RETURN_001</t>
        </is>
      </c>
      <c r="D49" s="2" t="inlineStr">
        <is>
          <t>恩捷股份 Yunnan Energy New Material (Semcorp)：重新评估 / 回流中国（提高中国生产比例）</t>
        </is>
      </c>
      <c r="E49" s="2" t="inlineStr">
        <is>
          <t>供应链布局</t>
        </is>
      </c>
      <c r="F49" s="2" t="inlineStr">
        <is>
          <t>S</t>
        </is>
      </c>
      <c r="G49" s="2" t="n">
        <v>1</v>
      </c>
      <c r="H49" s="2" t="n">
        <v>2</v>
      </c>
      <c r="I49" s="3" t="n">
        <v>0</v>
      </c>
      <c r="J49" s="3" t="n">
        <v>2</v>
      </c>
      <c r="K49" s="2" t="inlineStr">
        <is>
          <t>终止马来西亚项目，与该假设无关 ｜ 人工判定与Auto(1)不同，请复核</t>
        </is>
      </c>
      <c r="L49" s="2" t="inlineStr">
        <is>
          <t>恩捷股份公告（经东方财富网 / 央广网报道）</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50">
      <c r="A50" s="2" t="inlineStr">
        <is>
          <t>Q010</t>
        </is>
      </c>
      <c r="B50" s="2" t="n">
        <v>4</v>
      </c>
      <c r="C50" s="2" t="inlineStr">
        <is>
          <t>CASE_010</t>
        </is>
      </c>
      <c r="D50" s="2" t="inlineStr">
        <is>
          <t>白宫点名东南亚为非法转运高风险地区，并推出AI执法工具</t>
        </is>
      </c>
      <c r="E50" s="2" t="inlineStr">
        <is>
          <t>原产地与转运</t>
        </is>
      </c>
      <c r="F50" s="2" t="inlineStr">
        <is>
          <t>S</t>
        </is>
      </c>
      <c r="G50" s="2" t="n">
        <v>2</v>
      </c>
      <c r="H50" s="2" t="n">
        <v>2</v>
      </c>
      <c r="I50" s="3" t="n">
        <v>2</v>
      </c>
      <c r="J50" s="3" t="n">
        <v>2</v>
      </c>
      <c r="K50" s="2" t="inlineStr">
        <is>
          <t>官方执法立场，说明原产地改判风险</t>
        </is>
      </c>
      <c r="L50" s="2" t="inlineStr">
        <is>
          <t>美国白宫（经律所解读）</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51">
      <c r="A51" s="2" t="inlineStr">
        <is>
          <t>Q010</t>
        </is>
      </c>
      <c r="B51" s="2" t="n">
        <v>5</v>
      </c>
      <c r="C51" s="2" t="inlineStr">
        <is>
          <t>RELOC_005</t>
        </is>
      </c>
      <c r="D51" s="2" t="inlineStr">
        <is>
          <t>欣旺达 Sunwoda：中国 → 东南亚转移（多地区混合布局）</t>
        </is>
      </c>
      <c r="E51" s="2" t="inlineStr">
        <is>
          <t>供应链布局</t>
        </is>
      </c>
      <c r="F51" s="2" t="inlineStr">
        <is>
          <t>B+</t>
        </is>
      </c>
      <c r="G51" s="2" t="n">
        <v>1</v>
      </c>
      <c r="H51" s="2" t="n">
        <v>1</v>
      </c>
      <c r="I51" s="3" t="n">
        <v>0</v>
      </c>
      <c r="J51" s="3" t="n">
        <v>1</v>
      </c>
      <c r="K51" s="2" t="inlineStr">
        <is>
          <t>越南建厂案例，不提供执法判断 ｜ 人工判定与Auto(1)不同，请复核</t>
        </is>
      </c>
      <c r="L51" s="2" t="inlineStr">
        <is>
          <t>东方财富网 / 腾讯新闻</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52">
      <c r="A52" s="2" t="inlineStr">
        <is>
          <t>Q011</t>
        </is>
      </c>
      <c r="B52" s="2" t="n">
        <v>1</v>
      </c>
      <c r="C52" s="2" t="inlineStr">
        <is>
          <t>IMF_001</t>
        </is>
      </c>
      <c r="D52" s="2" t="inlineStr">
        <is>
          <t>World Economic Outlook, April 2023, Chapter 4: Geoeconomic Fragmentation and Foreign Direct Investment</t>
        </is>
      </c>
      <c r="E52" s="2" t="inlineStr">
        <is>
          <t>对外投资</t>
        </is>
      </c>
      <c r="F52" s="2" t="inlineStr">
        <is>
          <t>A+</t>
        </is>
      </c>
      <c r="G52" s="2" t="n">
        <v>2</v>
      </c>
      <c r="H52" s="2" t="n">
        <v>2</v>
      </c>
      <c r="I52" s="3" t="n">
        <v>2</v>
      </c>
      <c r="J52" s="3" t="n">
        <v>2</v>
      </c>
      <c r="K52" s="2" t="inlineStr">
        <is>
          <t>地缘经济碎片化框架，国际投资环境证据，直接</t>
        </is>
      </c>
      <c r="L52" s="2" t="inlineStr">
        <is>
          <t>国际货币基金组织（IMF）</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3">
      <c r="A53" s="2" t="inlineStr">
        <is>
          <t>Q011</t>
        </is>
      </c>
      <c r="B53" s="2" t="n">
        <v>2</v>
      </c>
      <c r="C53" s="2" t="inlineStr">
        <is>
          <t>RETURN_001</t>
        </is>
      </c>
      <c r="D53" s="2" t="inlineStr">
        <is>
          <t>恩捷股份 Yunnan Energy New Material (Semcorp)：重新评估 / 回流中国（提高中国生产比例）</t>
        </is>
      </c>
      <c r="E53" s="2" t="inlineStr">
        <is>
          <t>供应链布局</t>
        </is>
      </c>
      <c r="F53" s="2" t="inlineStr">
        <is>
          <t>S</t>
        </is>
      </c>
      <c r="G53" s="2" t="n">
        <v>0</v>
      </c>
      <c r="H53" s="2" t="n">
        <v>2</v>
      </c>
      <c r="I53" s="3" t="n">
        <v>1</v>
      </c>
      <c r="J53" s="3" t="n">
        <v>2</v>
      </c>
      <c r="K53" s="2" t="inlineStr">
        <is>
          <t>企业终止海外项目案例，可作立项风险的实例参考，但非制度/环境证据 ｜ 人工判定与Auto(0)不同，请复核</t>
        </is>
      </c>
      <c r="L53" s="2" t="inlineStr">
        <is>
          <t>恩捷股份公告（经东方财富网 / 央广网报道）</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54">
      <c r="A54" s="2" t="inlineStr">
        <is>
          <t>Q011</t>
        </is>
      </c>
      <c r="B54" s="2" t="n">
        <v>3</v>
      </c>
      <c r="C54" s="2" t="inlineStr">
        <is>
          <t>CNGOV_001</t>
        </is>
      </c>
      <c r="D54" s="2" t="inlineStr">
        <is>
          <t>国务院关于对外投资的规定（国务院令第837号）</t>
        </is>
      </c>
      <c r="E54" s="2" t="inlineStr">
        <is>
          <t>对外投资</t>
        </is>
      </c>
      <c r="F54" s="2" t="inlineStr">
        <is>
          <t>S</t>
        </is>
      </c>
      <c r="G54" s="2" t="n">
        <v>2</v>
      </c>
      <c r="H54" s="2" t="n">
        <v>2</v>
      </c>
      <c r="I54" s="3" t="n">
        <v>2</v>
      </c>
      <c r="J54" s="3" t="n">
        <v>2</v>
      </c>
      <c r="K54" s="2" t="inlineStr">
        <is>
          <t>中国对外投资官方规则，直接</t>
        </is>
      </c>
      <c r="L54" s="2" t="inlineStr">
        <is>
          <t>中华人民共和国国务院</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5">
      <c r="A55" s="2" t="inlineStr">
        <is>
          <t>Q011</t>
        </is>
      </c>
      <c r="B55" s="2" t="n">
        <v>4</v>
      </c>
      <c r="C55" s="2" t="inlineStr">
        <is>
          <t>RETURN_004</t>
        </is>
      </c>
      <c r="D55" s="2" t="inlineStr">
        <is>
          <t>蜂巢能源 SVOLT（欧洲业务）：重新评估 / 回流中国（维持现有海外布局（收缩新增））</t>
        </is>
      </c>
      <c r="E55" s="2" t="inlineStr">
        <is>
          <t>供应链布局</t>
        </is>
      </c>
      <c r="F55" s="2" t="inlineStr">
        <is>
          <t>B+</t>
        </is>
      </c>
      <c r="G55" s="2" t="n">
        <v>0</v>
      </c>
      <c r="H55" s="2" t="n">
        <v>1</v>
      </c>
      <c r="I55" s="3" t="n">
        <v>1</v>
      </c>
      <c r="J55" s="3" t="n">
        <v>1</v>
      </c>
      <c r="K55" s="2" t="inlineStr">
        <is>
          <t>企业终止欧洲业务，同为企业层面立项参考 ｜ 人工判定与Auto(0)不同，请复核</t>
        </is>
      </c>
      <c r="L55" s="2" t="inlineStr">
        <is>
          <t>36氪 / 财新网</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56">
      <c r="A56" s="2" t="inlineStr">
        <is>
          <t>Q011</t>
        </is>
      </c>
      <c r="B56" s="2" t="n">
        <v>5</v>
      </c>
      <c r="C56" s="2" t="inlineStr">
        <is>
          <t>RELOC_004</t>
        </is>
      </c>
      <c r="D56" s="2" t="inlineStr">
        <is>
          <t>亿纬锂能 EVE Energy：中国 → 东南亚转移（多地区混合布局）</t>
        </is>
      </c>
      <c r="E56" s="2" t="inlineStr">
        <is>
          <t>供应链布局</t>
        </is>
      </c>
      <c r="F56" s="2" t="inlineStr">
        <is>
          <t>B+</t>
        </is>
      </c>
      <c r="G56" s="2" t="n">
        <v>0</v>
      </c>
      <c r="H56" s="2" t="n">
        <v>1</v>
      </c>
      <c r="I56" s="3" t="n">
        <v>1</v>
      </c>
      <c r="J56" s="3" t="n">
        <v>1</v>
      </c>
      <c r="K56" s="2" t="inlineStr">
        <is>
          <t>企业海外建厂案例，同为企业层面立项参考 ｜ 人工判定与Auto(0)不同，请复核</t>
        </is>
      </c>
      <c r="L56" s="2" t="inlineStr">
        <is>
          <t>新浪财经</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UNCTAD_001</t>
        </is>
      </c>
      <c r="D58" s="2" t="inlineStr">
        <is>
          <t>World Investment Report 2026: International Investment in a Turbulent Era</t>
        </is>
      </c>
      <c r="E58" s="2" t="inlineStr">
        <is>
          <t>对外投资</t>
        </is>
      </c>
      <c r="F58" s="2" t="inlineStr">
        <is>
          <t>A+</t>
        </is>
      </c>
      <c r="G58" s="2" t="n">
        <v>2</v>
      </c>
      <c r="H58" s="2" t="n">
        <v>2</v>
      </c>
      <c r="I58" s="3" t="n">
        <v>2</v>
      </c>
      <c r="J58" s="3" t="n">
        <v>2</v>
      </c>
      <c r="K58" s="2" t="inlineStr">
        <is>
          <t>动荡期FDI趋势，直接</t>
        </is>
      </c>
      <c r="L58" s="2" t="inlineStr">
        <is>
          <t>联合国贸易和发展会议（UNCTAD）</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59">
      <c r="A59" s="2" t="inlineStr">
        <is>
          <t>Q012</t>
        </is>
      </c>
      <c r="B59" s="2" t="n">
        <v>3</v>
      </c>
      <c r="C59" s="2" t="inlineStr">
        <is>
          <t>CNGOV_001</t>
        </is>
      </c>
      <c r="D59" s="2" t="inlineStr">
        <is>
          <t>国务院关于对外投资的规定（国务院令第837号）</t>
        </is>
      </c>
      <c r="E59" s="2" t="inlineStr">
        <is>
          <t>对外投资</t>
        </is>
      </c>
      <c r="F59" s="2" t="inlineStr">
        <is>
          <t>S</t>
        </is>
      </c>
      <c r="G59" s="2" t="n">
        <v>1</v>
      </c>
      <c r="H59" s="2" t="n">
        <v>2</v>
      </c>
      <c r="I59" s="3" t="n">
        <v>1</v>
      </c>
      <c r="J59" s="3" t="n">
        <v>2</v>
      </c>
      <c r="K59" s="2" t="inlineStr">
        <is>
          <t>中国国内规定，非国际组织证据</t>
        </is>
      </c>
      <c r="L59" s="2" t="inlineStr">
        <is>
          <t>中华人民共和国国务院</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0">
      <c r="A60" s="2" t="inlineStr">
        <is>
          <t>Q012</t>
        </is>
      </c>
      <c r="B60" s="2" t="n">
        <v>4</v>
      </c>
      <c r="C60" s="2" t="inlineStr">
        <is>
          <t>RETURN_001</t>
        </is>
      </c>
      <c r="D60" s="2" t="inlineStr">
        <is>
          <t>恩捷股份 Yunnan Energy New Material (Semcorp)：重新评估 / 回流中国（提高中国生产比例）</t>
        </is>
      </c>
      <c r="E60" s="2" t="inlineStr">
        <is>
          <t>供应链布局</t>
        </is>
      </c>
      <c r="F60" s="2" t="inlineStr">
        <is>
          <t>S</t>
        </is>
      </c>
      <c r="G60" s="2" t="n">
        <v>0</v>
      </c>
      <c r="H60" s="2" t="n">
        <v>2</v>
      </c>
      <c r="I60" s="3" t="n">
        <v>0</v>
      </c>
      <c r="J60" s="3" t="n">
        <v>2</v>
      </c>
      <c r="K60" s="2" t="inlineStr">
        <is>
          <t>企业个案，与碎片化趋势判断无关</t>
        </is>
      </c>
      <c r="L60" s="2" t="inlineStr">
        <is>
          <t>恩捷股份公告（经东方财富网 / 央广网报道）</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Evidence ID: RETURN_001 Title: 恩捷股份 Yunnan Energy New Material (Semcorp)：重新评估 / 回流中国（提高中国生产比例） Publisher: 恩捷股份公告（经东方财富网 / 央广网报道） Country/Jurisdiction: CN/MY Publication date: 2026-05-22 Status: CURRENT Topic: 供应链布局 Applicability scope: GENERAL Related industries: 电池材料 Claim: 2026</t>
        </is>
      </c>
    </row>
    <row r="61">
      <c r="A61" s="2" t="inlineStr">
        <is>
          <t>Q012</t>
        </is>
      </c>
      <c r="B61" s="2" t="n">
        <v>5</v>
      </c>
      <c r="C61" s="2" t="inlineStr">
        <is>
          <t>RELOC_005</t>
        </is>
      </c>
      <c r="D61" s="2" t="inlineStr">
        <is>
          <t>欣旺达 Sunwoda：中国 → 东南亚转移（多地区混合布局）</t>
        </is>
      </c>
      <c r="E61" s="2" t="inlineStr">
        <is>
          <t>供应链布局</t>
        </is>
      </c>
      <c r="F61" s="2" t="inlineStr">
        <is>
          <t>B+</t>
        </is>
      </c>
      <c r="G61" s="2" t="n">
        <v>0</v>
      </c>
      <c r="H61" s="2" t="n">
        <v>1</v>
      </c>
      <c r="I61" s="3" t="n">
        <v>0</v>
      </c>
      <c r="J61" s="3" t="n">
        <v>1</v>
      </c>
      <c r="K61" s="2" t="inlineStr">
        <is>
          <t>企业建厂案例，与趋势判断无关</t>
        </is>
      </c>
      <c r="L61" s="2" t="inlineStr">
        <is>
          <t>东方财富网 / 腾讯新闻</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62">
      <c r="A62" s="2" t="inlineStr">
        <is>
          <t>Q013</t>
        </is>
      </c>
      <c r="B62" s="2" t="n">
        <v>1</v>
      </c>
      <c r="C62" s="2" t="inlineStr">
        <is>
          <t>UNCTAD_001</t>
        </is>
      </c>
      <c r="D62" s="2" t="inlineStr">
        <is>
          <t>World Investment Report 2026: International Investment in a Turbulent Era</t>
        </is>
      </c>
      <c r="E62" s="2" t="inlineStr">
        <is>
          <t>对外投资</t>
        </is>
      </c>
      <c r="F62" s="2" t="inlineStr">
        <is>
          <t>A+</t>
        </is>
      </c>
      <c r="G62" s="2" t="n">
        <v>2</v>
      </c>
      <c r="H62" s="2" t="n">
        <v>2</v>
      </c>
      <c r="I62" s="3" t="n">
        <v>2</v>
      </c>
      <c r="J62" s="3" t="n">
        <v>2</v>
      </c>
      <c r="K62" s="2" t="inlineStr">
        <is>
          <t>全球投资与地缘经济趋势，直接</t>
        </is>
      </c>
      <c r="L62" s="2" t="inlineStr">
        <is>
          <t>联合国贸易和发展会议（UNCTAD）</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3">
      <c r="A63" s="2" t="inlineStr">
        <is>
          <t>Q013</t>
        </is>
      </c>
      <c r="B63" s="2" t="n">
        <v>2</v>
      </c>
      <c r="C63" s="2" t="inlineStr">
        <is>
          <t>RETURN_004</t>
        </is>
      </c>
      <c r="D63" s="2" t="inlineStr">
        <is>
          <t>蜂巢能源 SVOLT（欧洲业务）：重新评估 / 回流中国（维持现有海外布局（收缩新增））</t>
        </is>
      </c>
      <c r="E63" s="2" t="inlineStr">
        <is>
          <t>供应链布局</t>
        </is>
      </c>
      <c r="F63" s="2" t="inlineStr">
        <is>
          <t>B+</t>
        </is>
      </c>
      <c r="G63" s="2" t="n">
        <v>1</v>
      </c>
      <c r="H63" s="2" t="n">
        <v>1</v>
      </c>
      <c r="I63" s="3" t="n">
        <v>1</v>
      </c>
      <c r="J63" s="3" t="n">
        <v>1</v>
      </c>
      <c r="K63" s="2" t="inlineStr">
        <is>
          <t>企业欧洲布局收缩，可作不确定性的具体例证，但非高权威全球证据</t>
        </is>
      </c>
      <c r="L63" s="2" t="inlineStr">
        <is>
          <t>36氪 / 财新网</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64">
      <c r="A64" s="2" t="inlineStr">
        <is>
          <t>Q013</t>
        </is>
      </c>
      <c r="B64" s="2" t="n">
        <v>3</v>
      </c>
      <c r="C64" s="2" t="inlineStr">
        <is>
          <t>IMF_001</t>
        </is>
      </c>
      <c r="D64" s="2" t="inlineStr">
        <is>
          <t>World Economic Outlook, April 2023, Chapter 4: Geoeconomic Fragmentation and Foreign Direct Investment</t>
        </is>
      </c>
      <c r="E64" s="2" t="inlineStr">
        <is>
          <t>对外投资</t>
        </is>
      </c>
      <c r="F64" s="2" t="inlineStr">
        <is>
          <t>A+</t>
        </is>
      </c>
      <c r="G64" s="2" t="n">
        <v>2</v>
      </c>
      <c r="H64" s="2" t="n">
        <v>2</v>
      </c>
      <c r="I64" s="3" t="n">
        <v>2</v>
      </c>
      <c r="J64" s="3" t="n">
        <v>2</v>
      </c>
      <c r="K64" s="2" t="inlineStr">
        <is>
          <t>FDI与地缘经济碎片化框架，直接</t>
        </is>
      </c>
      <c r="L64" s="2" t="inlineStr">
        <is>
          <t>国际货币基金组织（IMF）</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5">
      <c r="A65" s="2" t="inlineStr">
        <is>
          <t>Q013</t>
        </is>
      </c>
      <c r="B65" s="2" t="n">
        <v>4</v>
      </c>
      <c r="C65" s="2" t="inlineStr">
        <is>
          <t>RETURN_001</t>
        </is>
      </c>
      <c r="D65" s="2" t="inlineStr">
        <is>
          <t>恩捷股份 Yunnan Energy New Material (Semcorp)：重新评估 / 回流中国（提高中国生产比例）</t>
        </is>
      </c>
      <c r="E65" s="2" t="inlineStr">
        <is>
          <t>供应链布局</t>
        </is>
      </c>
      <c r="F65" s="2" t="inlineStr">
        <is>
          <t>S</t>
        </is>
      </c>
      <c r="G65" s="2" t="n">
        <v>1</v>
      </c>
      <c r="H65" s="2" t="n">
        <v>2</v>
      </c>
      <c r="I65" s="3" t="n">
        <v>1</v>
      </c>
      <c r="J65" s="3" t="n">
        <v>2</v>
      </c>
      <c r="K65" s="2" t="inlineStr">
        <is>
          <t>企业终止海外项目，同为例证，非宏观证据</t>
        </is>
      </c>
      <c r="L65" s="2" t="inlineStr">
        <is>
          <t>恩捷股份公告（经东方财富网 / 央广网报道）</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66">
      <c r="A66" s="2" t="inlineStr">
        <is>
          <t>Q013</t>
        </is>
      </c>
      <c r="B66" s="2" t="n">
        <v>5</v>
      </c>
      <c r="C66" s="2" t="inlineStr">
        <is>
          <t>WTO_001</t>
        </is>
      </c>
      <c r="D66" s="2" t="inlineStr">
        <is>
          <t>Global Trade Outlook and Statistics（2026年3月版）</t>
        </is>
      </c>
      <c r="E66" s="2" t="inlineStr">
        <is>
          <t>贸易流</t>
        </is>
      </c>
      <c r="F66" s="2" t="inlineStr">
        <is>
          <t>A+</t>
        </is>
      </c>
      <c r="G66" s="2" t="n">
        <v>2</v>
      </c>
      <c r="H66" s="2" t="n">
        <v>2</v>
      </c>
      <c r="I66" s="3" t="n">
        <v>2</v>
      </c>
      <c r="J66" s="3" t="n">
        <v>2</v>
      </c>
      <c r="K66" s="2" t="inlineStr">
        <is>
          <t>货物贸易增速放缓，直接</t>
        </is>
      </c>
      <c r="L66" s="2" t="inlineStr">
        <is>
          <t>世界贸易组织（WTO）</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FR_001</t>
        </is>
      </c>
      <c r="D71" s="2" t="inlineStr">
        <is>
          <t>Federal Register API（美国联邦公报）</t>
        </is>
      </c>
      <c r="E71" s="2" t="inlineStr">
        <is>
          <t>出口管制/关税</t>
        </is>
      </c>
      <c r="F71" s="2" t="inlineStr">
        <is>
          <t>S</t>
        </is>
      </c>
      <c r="G71" s="2" t="n">
        <v>1</v>
      </c>
      <c r="H71" s="2" t="n">
        <v>2</v>
      </c>
      <c r="I71" s="3" t="n">
        <v>1</v>
      </c>
      <c r="J71" s="3" t="n">
        <v>2</v>
      </c>
      <c r="K71" s="2" t="inlineStr">
        <is>
          <t>新规监测入口，非名称筛查数据源</t>
        </is>
      </c>
      <c r="L71" s="2" t="inlineStr">
        <is>
          <t>美国国家档案馆联邦公报办公室</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78">
      <c r="A78" s="2" t="inlineStr">
        <is>
          <t>Q016</t>
        </is>
      </c>
      <c r="B78" s="2" t="n">
        <v>2</v>
      </c>
      <c r="C78" s="2" t="inlineStr">
        <is>
          <t>RELOC_006</t>
        </is>
      </c>
      <c r="D78" s="2" t="inlineStr">
        <is>
          <t>蜂巢能源 SVOLT：中国 → 东南亚转移（多地区混合布局）</t>
        </is>
      </c>
      <c r="E78" s="2" t="inlineStr">
        <is>
          <t>供应链布局</t>
        </is>
      </c>
      <c r="F78" s="2" t="inlineStr">
        <is>
          <t>B+</t>
        </is>
      </c>
      <c r="G78" s="2" t="n">
        <v>1</v>
      </c>
      <c r="H78" s="2" t="n">
        <v>1</v>
      </c>
      <c r="I78" s="3" t="n">
        <v>1</v>
      </c>
      <c r="J78" s="3" t="n">
        <v>1</v>
      </c>
      <c r="K78" s="2" t="inlineStr">
        <is>
          <t>泰国电池厂案例，佐证产能转移，非贸易数据</t>
        </is>
      </c>
      <c r="L78" s="2" t="inlineStr">
        <is>
          <t>澎湃新闻</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79">
      <c r="A79" s="2" t="inlineStr">
        <is>
          <t>Q016</t>
        </is>
      </c>
      <c r="B79" s="2" t="n">
        <v>3</v>
      </c>
      <c r="C79" s="2" t="inlineStr">
        <is>
          <t>RELOC_003</t>
        </is>
      </c>
      <c r="D79" s="2" t="inlineStr">
        <is>
          <t>国轩高科 Gotion High-Tech：中国 → 东南亚转移（多地区混合布局）</t>
        </is>
      </c>
      <c r="E79" s="2" t="inlineStr">
        <is>
          <t>供应链布局</t>
        </is>
      </c>
      <c r="F79" s="2" t="inlineStr">
        <is>
          <t>B+</t>
        </is>
      </c>
      <c r="G79" s="2" t="n">
        <v>1</v>
      </c>
      <c r="H79" s="2" t="n">
        <v>1</v>
      </c>
      <c r="I79" s="3" t="n">
        <v>1</v>
      </c>
      <c r="J79" s="3" t="n">
        <v>1</v>
      </c>
      <c r="K79" s="2" t="inlineStr">
        <is>
          <t>越南电池厂案例，佐证产能转移</t>
        </is>
      </c>
      <c r="L79" s="2" t="inlineStr">
        <is>
          <t>澎湃新闻 / 盖世汽车社区</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 一、决策前状态（Initial Situation） 生产布局：电芯产能集中于中国（合肥、庐江、南京等基地），海外仅有销售与研发。 主要市场：中国动力电池市场为主，海外客户（大众等）快速增加。 供应链结构：正极、负极、隔膜主要来自中国供应商，磷酸铁锂（LFP）技术路线自主。 面临的问题：整车客户在东南亚建厂后要求就近配套；纯从中国出口电池面临关税与交期风险，且越南本地无 LFP 电芯产能。 ## 二、决策触发（Decision Trigger） 触发类型：market_access（市场准入） 触发细节：越南 VinFast 本地化生产需要就近电池</t>
        </is>
      </c>
    </row>
    <row r="80">
      <c r="A80" s="2" t="inlineStr">
        <is>
          <t>Q016</t>
        </is>
      </c>
      <c r="B80" s="2" t="n">
        <v>4</v>
      </c>
      <c r="C80" s="2" t="inlineStr">
        <is>
          <t>RELOC_004</t>
        </is>
      </c>
      <c r="D80" s="2" t="inlineStr">
        <is>
          <t>亿纬锂能 EVE Energy：中国 → 东南亚转移（多地区混合布局）</t>
        </is>
      </c>
      <c r="E80" s="2" t="inlineStr">
        <is>
          <t>供应链布局</t>
        </is>
      </c>
      <c r="F80" s="2" t="inlineStr">
        <is>
          <t>B+</t>
        </is>
      </c>
      <c r="G80" s="2" t="n">
        <v>1</v>
      </c>
      <c r="H80" s="2" t="n">
        <v>1</v>
      </c>
      <c r="I80" s="3" t="n">
        <v>1</v>
      </c>
      <c r="J80" s="3" t="n">
        <v>1</v>
      </c>
      <c r="K80" s="2" t="inlineStr">
        <is>
          <t>马来西亚电池厂案例，佐证产能转移</t>
        </is>
      </c>
      <c r="L80" s="2" t="inlineStr">
        <is>
          <t>新浪财经</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81">
      <c r="A81" s="2" t="inlineStr">
        <is>
          <t>Q016</t>
        </is>
      </c>
      <c r="B81" s="2" t="n">
        <v>5</v>
      </c>
      <c r="C81" s="2" t="inlineStr">
        <is>
          <t>TRD_003</t>
        </is>
      </c>
      <c r="D81" s="2" t="inlineStr">
        <is>
          <t>中国对越南、泰国、马来西亚出口 HS 8541/8542（中间品），2018–2025年度</t>
        </is>
      </c>
      <c r="E81" s="2" t="inlineStr">
        <is>
          <t>贸易流</t>
        </is>
      </c>
      <c r="F81" s="2" t="inlineStr">
        <is>
          <t>A+</t>
        </is>
      </c>
      <c r="G81" s="2" t="n">
        <v>2</v>
      </c>
      <c r="H81" s="2" t="n">
        <v>2</v>
      </c>
      <c r="I81" s="3" t="n">
        <v>2</v>
      </c>
      <c r="J81" s="3" t="n">
        <v>2</v>
      </c>
      <c r="K81" s="2" t="inlineStr">
        <is>
          <t>中国对越/泰/马中间品出口，直接</t>
        </is>
      </c>
      <c r="L81" s="2" t="inlineStr">
        <is>
          <t>联合国商品贸易统计数据库（UN Comtrade）</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RELOC_003</t>
        </is>
      </c>
      <c r="D84" s="2" t="inlineStr">
        <is>
          <t>国轩高科 Gotion High-Tech：中国 → 东南亚转移（多地区混合布局）</t>
        </is>
      </c>
      <c r="E84" s="2" t="inlineStr">
        <is>
          <t>供应链布局</t>
        </is>
      </c>
      <c r="F84" s="2" t="inlineStr">
        <is>
          <t>B+</t>
        </is>
      </c>
      <c r="G84" s="2" t="n">
        <v>1</v>
      </c>
      <c r="H84" s="2" t="n">
        <v>1</v>
      </c>
      <c r="I84" s="3" t="n">
        <v>1</v>
      </c>
      <c r="J84" s="3" t="n">
        <v>1</v>
      </c>
      <c r="K84" s="2" t="inlineStr">
        <is>
          <t>越南基地正负极材料仍来自中国，依赖例证</t>
        </is>
      </c>
      <c r="L84" s="2" t="inlineStr">
        <is>
          <t>澎湃新闻 / 盖世汽车社区</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 一、决策前状态（Initial Situation） 生产布局：电芯产能集中于中国（合肥、庐江、南京等基地），海外仅有销售与研发。 主要市场：中国动力电池市场为主，海外客户（大众等）快速增加。 供应链结构：正极、负极、隔膜主要来自中国供应商，磷酸铁锂（LFP）技术路线自主。 面临的问题：整车客户在东南亚建厂后要求就近配套；纯从中国出口电池面临关税与交期风险，且越南本地无 LFP 电芯产能。 ## 二、决策触发（Decision Trigger） 触发类型：market_access（市场准入） 触发细节：越南 VinFast 本地化生产需要就近电池</t>
        </is>
      </c>
    </row>
    <row r="85">
      <c r="A85" s="2" t="inlineStr">
        <is>
          <t>Q017</t>
        </is>
      </c>
      <c r="B85" s="2" t="n">
        <v>4</v>
      </c>
      <c r="C85" s="2" t="inlineStr">
        <is>
          <t>RELOC_005</t>
        </is>
      </c>
      <c r="D85" s="2" t="inlineStr">
        <is>
          <t>欣旺达 Sunwoda：中国 → 东南亚转移（多地区混合布局）</t>
        </is>
      </c>
      <c r="E85" s="2" t="inlineStr">
        <is>
          <t>供应链布局</t>
        </is>
      </c>
      <c r="F85" s="2" t="inlineStr">
        <is>
          <t>B+</t>
        </is>
      </c>
      <c r="G85" s="2" t="n">
        <v>1</v>
      </c>
      <c r="H85" s="2" t="n">
        <v>1</v>
      </c>
      <c r="I85" s="3" t="n">
        <v>1</v>
      </c>
      <c r="J85" s="3" t="n">
        <v>1</v>
      </c>
      <c r="K85" s="2" t="inlineStr">
        <is>
          <t>越南基地材料仍由中国供应，依赖例证</t>
        </is>
      </c>
      <c r="L85" s="2" t="inlineStr">
        <is>
          <t>东方财富网 / 腾讯新闻</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86">
      <c r="A86" s="2" t="inlineStr">
        <is>
          <t>Q017</t>
        </is>
      </c>
      <c r="B86" s="2" t="n">
        <v>5</v>
      </c>
      <c r="C86" s="2" t="inlineStr">
        <is>
          <t>WH_002</t>
        </is>
      </c>
      <c r="D86" s="2" t="inlineStr">
        <is>
          <t>The Great Transshipment Scam: Rise, Scope, and Costs（白宫非法转运报告）</t>
        </is>
      </c>
      <c r="E86" s="2" t="inlineStr">
        <is>
          <t>原产地与转运</t>
        </is>
      </c>
      <c r="F86" s="2" t="inlineStr">
        <is>
          <t>S</t>
        </is>
      </c>
      <c r="G86" s="2" t="n">
        <v>2</v>
      </c>
      <c r="H86" s="2" t="n">
        <v>2</v>
      </c>
      <c r="I86" s="3" t="n">
        <v>2</v>
      </c>
      <c r="J86" s="3" t="n">
        <v>2</v>
      </c>
      <c r="K86" s="2" t="inlineStr">
        <is>
          <t>非法转运报告，原产地风险直接</t>
        </is>
      </c>
      <c r="L86" s="2" t="inlineStr">
        <is>
          <t>美国白宫贸易与制造业政策办公室</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7">
      <c r="A87" s="2" t="inlineStr">
        <is>
          <t>Q018</t>
        </is>
      </c>
      <c r="B87" s="2" t="n">
        <v>1</v>
      </c>
      <c r="C87" s="2" t="inlineStr">
        <is>
          <t>RELOC_005</t>
        </is>
      </c>
      <c r="D87" s="2" t="inlineStr">
        <is>
          <t>欣旺达 Sunwoda：中国 → 东南亚转移（多地区混合布局）</t>
        </is>
      </c>
      <c r="E87" s="2" t="inlineStr">
        <is>
          <t>供应链布局</t>
        </is>
      </c>
      <c r="F87" s="2" t="inlineStr">
        <is>
          <t>B+</t>
        </is>
      </c>
      <c r="G87" s="2" t="n">
        <v>1</v>
      </c>
      <c r="H87" s="2" t="n">
        <v>1</v>
      </c>
      <c r="I87" s="3" t="n">
        <v>1</v>
      </c>
      <c r="J87" s="3" t="n">
        <v>1</v>
      </c>
      <c r="K87" s="2" t="inlineStr">
        <is>
          <t>越南仅承担电芯制造、材料仍由中国供应，支持“未隔离风险”</t>
        </is>
      </c>
      <c r="L87" s="2" t="inlineStr">
        <is>
          <t>东方财富网 / 腾讯新闻</t>
        </is>
      </c>
      <c r="M87" s="2" t="inlineStr">
        <is>
          <t>Supply Chain Risk</t>
        </is>
      </c>
      <c r="N87" s="2" t="inlineStr">
        <is>
          <t>supply_chain</t>
        </is>
      </c>
      <c r="O87" s="2" t="inlineStr">
        <is>
          <t>CASE_001; CASE_002; CASE_003; CASE_008; TRD_003; RELOC_001; RELOC_003; RELOC_006; RETURN_001</t>
        </is>
      </c>
      <c r="P87" s="2" t="inlineStr">
        <is>
          <t>管理层正在比较中国本土生产与东南亚生产。现有案例是否表明仅把最终生产环节迁往东南亚并不能完全隔离贸易与供应链风险？</t>
        </is>
      </c>
      <c r="Q87"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88">
      <c r="A88" s="2" t="inlineStr">
        <is>
          <t>Q018</t>
        </is>
      </c>
      <c r="B88" s="2" t="n">
        <v>2</v>
      </c>
      <c r="C88" s="2" t="inlineStr">
        <is>
          <t>RELOC_006</t>
        </is>
      </c>
      <c r="D88" s="2" t="inlineStr">
        <is>
          <t>蜂巢能源 SVOLT：中国 → 东南亚转移（多地区混合布局）</t>
        </is>
      </c>
      <c r="E88" s="2" t="inlineStr">
        <is>
          <t>供应链布局</t>
        </is>
      </c>
      <c r="F88" s="2" t="inlineStr">
        <is>
          <t>B+</t>
        </is>
      </c>
      <c r="G88" s="2" t="n">
        <v>2</v>
      </c>
      <c r="H88" s="2" t="n">
        <v>1</v>
      </c>
      <c r="I88" s="3" t="n">
        <v>2</v>
      </c>
      <c r="J88" s="3" t="n">
        <v>1</v>
      </c>
      <c r="K88" s="2" t="inlineStr">
        <is>
          <t>泰国仅承担模组PACK、电芯材料仍从中国输入，直接支持</t>
        </is>
      </c>
      <c r="L88" s="2" t="inlineStr">
        <is>
          <t>澎湃新闻</t>
        </is>
      </c>
      <c r="M88" s="2" t="inlineStr">
        <is>
          <t>Supply Chain Risk</t>
        </is>
      </c>
      <c r="N88" s="2" t="inlineStr">
        <is>
          <t>supply_chain</t>
        </is>
      </c>
      <c r="O88" s="2" t="inlineStr">
        <is>
          <t>CASE_001; CASE_002; CASE_003; CASE_008; TRD_003; RELOC_001; RELOC_003; RELOC_006; RETURN_001</t>
        </is>
      </c>
      <c r="P88" s="2" t="inlineStr">
        <is>
          <t>管理层正在比较中国本土生产与东南亚生产。现有案例是否表明仅把最终生产环节迁往东南亚并不能完全隔离贸易与供应链风险？</t>
        </is>
      </c>
      <c r="Q88" s="2" t="inlineStr">
        <is>
          <t>## 三、实际决策（Actual Decision） 决策分类：多地区混合布局 决策内容：在泰国春武里府是拉差市建设电池工厂（模组 PACK + 电芯），2024-02-28 正式投产并批量交付，配套长城欧拉、合众/哪吒等中国车企在泰车型；当年计划交付超 2 万套 PACK；中国产能保留。 ## 四、相关风险（Related Risk） 风险类别：Market Access Risk; Trade Risk; Operational Risk ## 五、后续结果（Outcome） 成本影响：本地 PACK 组装降低关税与物流成本，投资规模小于整线电芯厂。</t>
        </is>
      </c>
    </row>
    <row r="89">
      <c r="A89" s="2" t="inlineStr">
        <is>
          <t>Q018</t>
        </is>
      </c>
      <c r="B89" s="2" t="n">
        <v>3</v>
      </c>
      <c r="C89" s="2" t="inlineStr">
        <is>
          <t>RELOC_004</t>
        </is>
      </c>
      <c r="D89" s="2" t="inlineStr">
        <is>
          <t>亿纬锂能 EVE Energy：中国 → 东南亚转移（多地区混合布局）</t>
        </is>
      </c>
      <c r="E89" s="2" t="inlineStr">
        <is>
          <t>供应链布局</t>
        </is>
      </c>
      <c r="F89" s="2" t="inlineStr">
        <is>
          <t>B+</t>
        </is>
      </c>
      <c r="G89" s="2" t="n">
        <v>1</v>
      </c>
      <c r="H89" s="2" t="n">
        <v>1</v>
      </c>
      <c r="I89" s="3" t="n">
        <v>1</v>
      </c>
      <c r="J89" s="3" t="n">
        <v>1</v>
      </c>
      <c r="K89" s="2" t="inlineStr">
        <is>
          <t>材料仍由中国输入，例证</t>
        </is>
      </c>
      <c r="L89" s="2" t="inlineStr">
        <is>
          <t>新浪财经</t>
        </is>
      </c>
      <c r="M89" s="2" t="inlineStr">
        <is>
          <t>Supply Chain Risk</t>
        </is>
      </c>
      <c r="N89" s="2" t="inlineStr">
        <is>
          <t>supply_chain</t>
        </is>
      </c>
      <c r="O89" s="2" t="inlineStr">
        <is>
          <t>CASE_001; CASE_002; CASE_003; CASE_008; TRD_003; RELOC_001; RELOC_003; RELOC_006; RETURN_001</t>
        </is>
      </c>
      <c r="P89" s="2" t="inlineStr">
        <is>
          <t>管理层正在比较中国本土生产与东南亚生产。现有案例是否表明仅把最终生产环节迁往东南亚并不能完全隔离贸易与供应链风险？</t>
        </is>
      </c>
      <c r="Q89" s="2" t="inlineStr">
        <is>
          <t>Evidence ID: RELOC_004 Title: 亿纬锂能 EVE Energy：中国 → 东南亚转移（多地区混合布局） Publisher: 新浪财经 Country/Jurisdiction: CN/MY Publication date: 2026-02-06 Status: CURRENT Topic: 供应链布局 Applicability scope: GENERAL Related industries: 动力电池/储能 Claim: 在马来西亚吉打州居林县建设海外工厂，二期于 2026 年 2 月投产运营，建筑面积约 60 万平</t>
        </is>
      </c>
    </row>
    <row r="90">
      <c r="A90" s="2" t="inlineStr">
        <is>
          <t>Q018</t>
        </is>
      </c>
      <c r="B90" s="2" t="n">
        <v>4</v>
      </c>
      <c r="C90" s="2" t="inlineStr">
        <is>
          <t>RELOC_002</t>
        </is>
      </c>
      <c r="D90" s="2" t="inlineStr">
        <is>
          <t>长安汽车 Changan Automobile：中国 → 东南亚转移（多地区混合布局）</t>
        </is>
      </c>
      <c r="E90" s="2" t="inlineStr">
        <is>
          <t>供应链布局</t>
        </is>
      </c>
      <c r="F90" s="2" t="inlineStr">
        <is>
          <t>S</t>
        </is>
      </c>
      <c r="G90" s="2" t="n">
        <v>1</v>
      </c>
      <c r="H90" s="2" t="n">
        <v>2</v>
      </c>
      <c r="I90" s="3" t="n">
        <v>1</v>
      </c>
      <c r="J90" s="3" t="n">
        <v>2</v>
      </c>
      <c r="K90" s="2" t="inlineStr">
        <is>
          <t>零部件本地化仍在爬坡、依赖中泰跨境供应，例证</t>
        </is>
      </c>
      <c r="L90" s="2" t="inlineStr">
        <is>
          <t>易车 / 证券之星（投资者互动平台）</t>
        </is>
      </c>
      <c r="M90" s="2" t="inlineStr">
        <is>
          <t>Supply Chain Risk</t>
        </is>
      </c>
      <c r="N90" s="2" t="inlineStr">
        <is>
          <t>supply_chain</t>
        </is>
      </c>
      <c r="O90" s="2" t="inlineStr">
        <is>
          <t>CASE_001; CASE_002; CASE_003; CASE_008; TRD_003; RELOC_001; RELOC_003; RELOC_006; RETURN_001</t>
        </is>
      </c>
      <c r="P90" s="2" t="inlineStr">
        <is>
          <t>管理层正在比较中国本土生产与东南亚生产。现有案例是否表明仅把最终生产环节迁往东南亚并不能完全隔离贸易与供应链风险？</t>
        </is>
      </c>
      <c r="Q90" s="2" t="inlineStr">
        <is>
          <t>## 二、决策触发（Decision Trigger） 触发类型：market_access（市场准入） 触发细节：泰国 EV3.5 补贴政策要求本地生产，才能享受补贴与关税优惠。 ## 三、实际决策（Actual Decision） 决策分类：多地区混合布局 决策内容：在泰国罗勇府建设整车工厂，2025-05-16 竣工投产，全球累计第 2859 万辆（深蓝 S05）在泰下线；中国产能保留。 ## 四、相关风险（Related Risk） 风险类别：Market Access Risk; Trade Risk; Operational Risk ##</t>
        </is>
      </c>
    </row>
    <row r="91">
      <c r="A91" s="2" t="inlineStr">
        <is>
          <t>Q018</t>
        </is>
      </c>
      <c r="B91" s="2" t="n">
        <v>5</v>
      </c>
      <c r="C91" s="2" t="inlineStr">
        <is>
          <t>RETURN_001</t>
        </is>
      </c>
      <c r="D91" s="2" t="inlineStr">
        <is>
          <t>恩捷股份 Yunnan Energy New Material (Semcorp)：重新评估 / 回流中国（提高中国生产比例）</t>
        </is>
      </c>
      <c r="E91" s="2" t="inlineStr">
        <is>
          <t>供应链布局</t>
        </is>
      </c>
      <c r="F91" s="2" t="inlineStr">
        <is>
          <t>S</t>
        </is>
      </c>
      <c r="G91" s="2" t="n">
        <v>2</v>
      </c>
      <c r="H91" s="2" t="n">
        <v>2</v>
      </c>
      <c r="I91" s="3" t="n">
        <v>2</v>
      </c>
      <c r="J91" s="3" t="n">
        <v>2</v>
      </c>
      <c r="K91" s="2" t="inlineStr">
        <is>
          <t>终止海外项目、对单一中国基地依赖上升，直接说明风险未隔离</t>
        </is>
      </c>
      <c r="L91" s="2" t="inlineStr">
        <is>
          <t>恩捷股份公告（经东方财富网 / 央广网报道）</t>
        </is>
      </c>
      <c r="M91" s="2" t="inlineStr">
        <is>
          <t>Supply Chain Risk</t>
        </is>
      </c>
      <c r="N91" s="2" t="inlineStr">
        <is>
          <t>supply_chain</t>
        </is>
      </c>
      <c r="O91" s="2" t="inlineStr">
        <is>
          <t>CASE_001; CASE_002; CASE_003; CASE_008; TRD_003; RELOC_001; RELOC_003; RELOC_006; RETURN_001</t>
        </is>
      </c>
      <c r="P91" s="2" t="inlineStr">
        <is>
          <t>管理层正在比较中国本土生产与东南亚生产。现有案例是否表明仅把最终生产环节迁往东南亚并不能完全隔离贸易与供应链风险？</t>
        </is>
      </c>
      <c r="Q9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92">
      <c r="A92" s="2" t="inlineStr">
        <is>
          <t>Q019</t>
        </is>
      </c>
      <c r="B92" s="2" t="n">
        <v>1</v>
      </c>
      <c r="C92" s="2" t="inlineStr">
        <is>
          <t>RELOC_005</t>
        </is>
      </c>
      <c r="D92" s="2" t="inlineStr">
        <is>
          <t>欣旺达 Sunwoda：中国 → 东南亚转移（多地区混合布局）</t>
        </is>
      </c>
      <c r="E92" s="2" t="inlineStr">
        <is>
          <t>供应链布局</t>
        </is>
      </c>
      <c r="F92" s="2" t="inlineStr">
        <is>
          <t>B+</t>
        </is>
      </c>
      <c r="G92" s="2" t="n">
        <v>1</v>
      </c>
      <c r="H92" s="2" t="n">
        <v>1</v>
      </c>
      <c r="I92" s="3" t="n">
        <v>2</v>
      </c>
      <c r="J92" s="3" t="n">
        <v>1</v>
      </c>
      <c r="K92" s="2" t="inlineStr">
        <is>
          <t>欣旺达越南扩产，供应链布局调整的直接案例 ｜ 人工判定与Auto(1)不同，请复核</t>
        </is>
      </c>
      <c r="L92" s="2" t="inlineStr">
        <is>
          <t>东方财富网 / 腾讯新闻</t>
        </is>
      </c>
      <c r="M92" s="2" t="inlineStr">
        <is>
          <t>Supply Chain Risk</t>
        </is>
      </c>
      <c r="N92" s="2" t="inlineStr">
        <is>
          <t>supply_chain</t>
        </is>
      </c>
      <c r="O92" s="2" t="inlineStr">
        <is>
          <t>CASE_001; CASE_004; CASE_005; CASE_006; CASE_008; KPMG_001; PLUS1_001; PLUS1_002; RELOC_001</t>
        </is>
      </c>
      <c r="P92" s="2" t="inlineStr">
        <is>
          <t>我们要做供应链韧性方案，哪些证据可以说明大企业正在调整供应链布局，以及企业在海外扩产时可能面临哪些执行风险？</t>
        </is>
      </c>
      <c r="Q92"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93">
      <c r="A93" s="2" t="inlineStr">
        <is>
          <t>Q019</t>
        </is>
      </c>
      <c r="B93" s="2" t="n">
        <v>2</v>
      </c>
      <c r="C93" s="2" t="inlineStr">
        <is>
          <t>RETURN_001</t>
        </is>
      </c>
      <c r="D93" s="2" t="inlineStr">
        <is>
          <t>恩捷股份 Yunnan Energy New Material (Semcorp)：重新评估 / 回流中国（提高中国生产比例）</t>
        </is>
      </c>
      <c r="E93" s="2" t="inlineStr">
        <is>
          <t>供应链布局</t>
        </is>
      </c>
      <c r="F93" s="2" t="inlineStr">
        <is>
          <t>S</t>
        </is>
      </c>
      <c r="G93" s="2" t="n">
        <v>1</v>
      </c>
      <c r="H93" s="2" t="n">
        <v>2</v>
      </c>
      <c r="I93" s="3" t="n">
        <v>2</v>
      </c>
      <c r="J93" s="3" t="n">
        <v>2</v>
      </c>
      <c r="K93" s="2" t="inlineStr">
        <is>
          <t>终止海外项目、资源回投国内，直接说明执行风险 ｜ 人工判定与Auto(1)不同，请复核</t>
        </is>
      </c>
      <c r="L93" s="2" t="inlineStr">
        <is>
          <t>恩捷股份公告（经东方财富网 / 央广网报道）</t>
        </is>
      </c>
      <c r="M93" s="2" t="inlineStr">
        <is>
          <t>Supply Chain Risk</t>
        </is>
      </c>
      <c r="N93" s="2" t="inlineStr">
        <is>
          <t>supply_chain</t>
        </is>
      </c>
      <c r="O93" s="2" t="inlineStr">
        <is>
          <t>CASE_001; CASE_004; CASE_005; CASE_006; CASE_008; KPMG_001; PLUS1_001; PLUS1_002; RELOC_001</t>
        </is>
      </c>
      <c r="P93" s="2" t="inlineStr">
        <is>
          <t>我们要做供应链韧性方案，哪些证据可以说明大企业正在调整供应链布局，以及企业在海外扩产时可能面临哪些执行风险？</t>
        </is>
      </c>
      <c r="Q93"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94">
      <c r="A94" s="2" t="inlineStr">
        <is>
          <t>Q019</t>
        </is>
      </c>
      <c r="B94" s="2" t="n">
        <v>3</v>
      </c>
      <c r="C94" s="2" t="inlineStr">
        <is>
          <t>RELOC_004</t>
        </is>
      </c>
      <c r="D94" s="2" t="inlineStr">
        <is>
          <t>亿纬锂能 EVE Energy：中国 → 东南亚转移（多地区混合布局）</t>
        </is>
      </c>
      <c r="E94" s="2" t="inlineStr">
        <is>
          <t>供应链布局</t>
        </is>
      </c>
      <c r="F94" s="2" t="inlineStr">
        <is>
          <t>B+</t>
        </is>
      </c>
      <c r="G94" s="2" t="n">
        <v>1</v>
      </c>
      <c r="H94" s="2" t="n">
        <v>1</v>
      </c>
      <c r="I94" s="3" t="n">
        <v>2</v>
      </c>
      <c r="J94" s="3" t="n">
        <v>1</v>
      </c>
      <c r="K94" s="2" t="inlineStr">
        <is>
          <t>亿纬锂能马来西亚投产，布局调整案例 ｜ 人工判定与Auto(1)不同，请复核</t>
        </is>
      </c>
      <c r="L94" s="2" t="inlineStr">
        <is>
          <t>新浪财经</t>
        </is>
      </c>
      <c r="M94" s="2" t="inlineStr">
        <is>
          <t>Supply Chain Risk</t>
        </is>
      </c>
      <c r="N94" s="2" t="inlineStr">
        <is>
          <t>supply_chain</t>
        </is>
      </c>
      <c r="O94" s="2" t="inlineStr">
        <is>
          <t>CASE_001; CASE_004; CASE_005; CASE_006; CASE_008; KPMG_001; PLUS1_001; PLUS1_002; RELOC_001</t>
        </is>
      </c>
      <c r="P94" s="2" t="inlineStr">
        <is>
          <t>我们要做供应链韧性方案，哪些证据可以说明大企业正在调整供应链布局，以及企业在海外扩产时可能面临哪些执行风险？</t>
        </is>
      </c>
      <c r="Q94"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95">
      <c r="A95" s="2" t="inlineStr">
        <is>
          <t>Q019</t>
        </is>
      </c>
      <c r="B95" s="2" t="n">
        <v>4</v>
      </c>
      <c r="C95" s="2" t="inlineStr">
        <is>
          <t>RELOC_001</t>
        </is>
      </c>
      <c r="D95" s="2" t="inlineStr">
        <is>
          <t>比亚迪 BYD：中国 → 东南亚转移（多地区混合布局）</t>
        </is>
      </c>
      <c r="E95" s="2" t="inlineStr">
        <is>
          <t>供应链布局</t>
        </is>
      </c>
      <c r="F95" s="2" t="inlineStr">
        <is>
          <t>S</t>
        </is>
      </c>
      <c r="G95" s="2" t="n">
        <v>2</v>
      </c>
      <c r="H95" s="2" t="n">
        <v>2</v>
      </c>
      <c r="I95" s="3" t="n">
        <v>2</v>
      </c>
      <c r="J95" s="3" t="n">
        <v>2</v>
      </c>
      <c r="K95" s="2" t="inlineStr">
        <is>
          <t>比亚迪泰国投产，布局调整案例</t>
        </is>
      </c>
      <c r="L95" s="2" t="inlineStr">
        <is>
          <t>东方财富网（转比亚迪官方）</t>
        </is>
      </c>
      <c r="M95" s="2" t="inlineStr">
        <is>
          <t>Supply Chain Risk</t>
        </is>
      </c>
      <c r="N95" s="2" t="inlineStr">
        <is>
          <t>supply_chain</t>
        </is>
      </c>
      <c r="O95" s="2" t="inlineStr">
        <is>
          <t>CASE_001; CASE_004; CASE_005; CASE_006; CASE_008; KPMG_001; PLUS1_001; PLUS1_002; RELOC_001</t>
        </is>
      </c>
      <c r="P95" s="2" t="inlineStr">
        <is>
          <t>我们要做供应链韧性方案，哪些证据可以说明大企业正在调整供应链布局，以及企业在海外扩产时可能面临哪些执行风险？</t>
        </is>
      </c>
      <c r="Q95" s="2" t="inlineStr">
        <is>
          <t>Evidence ID: RELOC_001 Title: 比亚迪 BYD：中国 → 东南亚转移（多地区混合布局） Publisher: 东方财富网（转比亚迪官方） Country/Jurisdiction: CN/TH Publication date: 2024-07-04 Status: CURRENT Topic: 供应链布局 Applicability scope: GENERAL Related industries: 整车/汽车 Claim: 2022-09 与 WHA 签约，在泰国罗勇府建全资乘用车工厂；2024-07-04 竣工投产，年</t>
        </is>
      </c>
    </row>
    <row r="96">
      <c r="A96" s="2" t="inlineStr">
        <is>
          <t>Q019</t>
        </is>
      </c>
      <c r="B96" s="2" t="n">
        <v>5</v>
      </c>
      <c r="C96" s="2" t="inlineStr">
        <is>
          <t>PLUS1_001</t>
        </is>
      </c>
      <c r="D96" s="2" t="inlineStr">
        <is>
          <t>宁德时代 CATL：China + 1 战略（多地区混合布局）</t>
        </is>
      </c>
      <c r="E96" s="2" t="inlineStr">
        <is>
          <t>供应链布局</t>
        </is>
      </c>
      <c r="F96" s="2" t="inlineStr">
        <is>
          <t>B+</t>
        </is>
      </c>
      <c r="G96" s="2" t="n">
        <v>2</v>
      </c>
      <c r="H96" s="2" t="n">
        <v>1</v>
      </c>
      <c r="I96" s="3" t="n">
        <v>2</v>
      </c>
      <c r="J96" s="3" t="n">
        <v>1</v>
      </c>
      <c r="K96" s="2" t="inlineStr">
        <is>
          <t>CATL 匈牙利 China+1，布局调整案例</t>
        </is>
      </c>
      <c r="L96" s="2" t="inlineStr">
        <is>
          <t>每日经济新闻 / 搜狐网</t>
        </is>
      </c>
      <c r="M96" s="2" t="inlineStr">
        <is>
          <t>Supply Chain Risk</t>
        </is>
      </c>
      <c r="N96" s="2" t="inlineStr">
        <is>
          <t>supply_chain</t>
        </is>
      </c>
      <c r="O96" s="2" t="inlineStr">
        <is>
          <t>CASE_001; CASE_004; CASE_005; CASE_006; CASE_008; KPMG_001; PLUS1_001; PLUS1_002; RELOC_001</t>
        </is>
      </c>
      <c r="P96" s="2" t="inlineStr">
        <is>
          <t>我们要做供应链韧性方案，哪些证据可以说明大企业正在调整供应链布局，以及企业在海外扩产时可能面临哪些执行风险？</t>
        </is>
      </c>
      <c r="Q96" s="2" t="inlineStr">
        <is>
          <t>Evidence ID: PLUS1_001 Title: 宁德时代 CATL：China + 1 战略（多地区混合布局） Publisher: 每日经济新闻 / 搜狐网 Country/Jurisdiction: CN/HU Publication date: 2026-09-22 Status: CURRENT Topic: 供应链布局 Applicability scope: GENERAL Related industries: 动力电池 Claim: 在匈牙利德布勒森建设欧洲第二座电池工厂，投资约 73.4 亿欧元（匈牙利史上最大外资项目之一）</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CASE_010</t>
        </is>
      </c>
      <c r="D99" s="2" t="inlineStr">
        <is>
          <t>白宫点名东南亚为非法转运高风险地区，并推出AI执法工具</t>
        </is>
      </c>
      <c r="E99" s="2" t="inlineStr">
        <is>
          <t>原产地与转运</t>
        </is>
      </c>
      <c r="F99" s="2" t="inlineStr">
        <is>
          <t>S</t>
        </is>
      </c>
      <c r="G99" s="2" t="n">
        <v>2</v>
      </c>
      <c r="H99" s="2" t="n">
        <v>2</v>
      </c>
      <c r="I99" s="3" t="n">
        <v>2</v>
      </c>
      <c r="J99" s="3" t="n">
        <v>2</v>
      </c>
      <c r="K99" s="2" t="inlineStr">
        <is>
          <t>点名泰/马转运高风险，直接</t>
        </is>
      </c>
      <c r="L99" s="2" t="inlineStr">
        <is>
          <t>美国白宫（经律所解读）</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0">
      <c r="A100" s="2" t="inlineStr">
        <is>
          <t>Q020</t>
        </is>
      </c>
      <c r="B100" s="2" t="n">
        <v>4</v>
      </c>
      <c r="C100" s="2" t="inlineStr">
        <is>
          <t>RETURN_001</t>
        </is>
      </c>
      <c r="D100" s="2" t="inlineStr">
        <is>
          <t>恩捷股份 Yunnan Energy New Material (Semcorp)：重新评估 / 回流中国（提高中国生产比例）</t>
        </is>
      </c>
      <c r="E100" s="2" t="inlineStr">
        <is>
          <t>供应链布局</t>
        </is>
      </c>
      <c r="F100" s="2" t="inlineStr">
        <is>
          <t>S</t>
        </is>
      </c>
      <c r="G100" s="2" t="n">
        <v>1</v>
      </c>
      <c r="H100" s="2" t="n">
        <v>2</v>
      </c>
      <c r="I100" s="3" t="n">
        <v>1</v>
      </c>
      <c r="J100" s="3" t="n">
        <v>2</v>
      </c>
      <c r="K100" s="2" t="inlineStr">
        <is>
          <t>企业终止海外项目，与地理集中评估弱相关</t>
        </is>
      </c>
      <c r="L100" s="2" t="inlineStr">
        <is>
          <t>恩捷股份公告（经东方财富网 / 央广网报道）</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01">
      <c r="A101" s="2" t="inlineStr">
        <is>
          <t>Q020</t>
        </is>
      </c>
      <c r="B101" s="2" t="n">
        <v>5</v>
      </c>
      <c r="C101" s="2" t="inlineStr">
        <is>
          <t>WH_001</t>
        </is>
      </c>
      <c r="D101" s="2" t="inlineStr">
        <is>
          <t>Executive Order 14411: Strengthening Customs Enforcement（加强海关执法行政令）</t>
        </is>
      </c>
      <c r="E101" s="2" t="inlineStr">
        <is>
          <t>原产地与转运</t>
        </is>
      </c>
      <c r="F101" s="2" t="inlineStr">
        <is>
          <t>S</t>
        </is>
      </c>
      <c r="G101" s="2" t="n">
        <v>1</v>
      </c>
      <c r="H101" s="2" t="n">
        <v>2</v>
      </c>
      <c r="I101" s="3" t="n">
        <v>2</v>
      </c>
      <c r="J101" s="3" t="n">
        <v>2</v>
      </c>
      <c r="K101" s="2" t="inlineStr">
        <is>
          <t>海关执法行政令，对应非法转运审查维度 ｜ 人工判定与Auto(1)不同，请复核</t>
        </is>
      </c>
      <c r="L101" s="2" t="inlineStr">
        <is>
          <t>美国白宫</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WH_001</t>
        </is>
      </c>
      <c r="D105" s="2" t="inlineStr">
        <is>
          <t>Executive Order 14411: Strengthening Customs Enforcement（加强海关执法行政令）</t>
        </is>
      </c>
      <c r="E105" s="2" t="inlineStr">
        <is>
          <t>原产地与转运</t>
        </is>
      </c>
      <c r="F105" s="2" t="inlineStr">
        <is>
          <t>S</t>
        </is>
      </c>
      <c r="G105" s="2" t="n">
        <v>2</v>
      </c>
      <c r="H105" s="2" t="n">
        <v>2</v>
      </c>
      <c r="I105" s="3" t="n">
        <v>2</v>
      </c>
      <c r="J105" s="3" t="n">
        <v>2</v>
      </c>
      <c r="K105" s="2" t="inlineStr">
        <is>
          <t>EO14411进口商问责，直接</t>
        </is>
      </c>
      <c r="L105" s="2" t="inlineStr">
        <is>
          <t>美国白宫</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6">
      <c r="A106" s="2" t="inlineStr">
        <is>
          <t>Q021</t>
        </is>
      </c>
      <c r="B106" s="2" t="n">
        <v>5</v>
      </c>
      <c r="C106" s="2" t="inlineStr">
        <is>
          <t>CASE_002</t>
        </is>
      </c>
      <c r="D106" s="2" t="inlineStr">
        <is>
          <t>美国对东南亚四国光伏产品反规避认定：视为中国原产并适用对华双反</t>
        </is>
      </c>
      <c r="E106" s="2" t="inlineStr">
        <is>
          <t>反规避</t>
        </is>
      </c>
      <c r="F106" s="2" t="inlineStr">
        <is>
          <t>S</t>
        </is>
      </c>
      <c r="G106" s="2" t="n">
        <v>2</v>
      </c>
      <c r="H106" s="2" t="n">
        <v>2</v>
      </c>
      <c r="I106" s="3" t="n">
        <v>2</v>
      </c>
      <c r="J106" s="3" t="n">
        <v>2</v>
      </c>
      <c r="K106" s="2" t="inlineStr">
        <is>
          <t>仅凭申报原产地仍被认定中国原产，直接</t>
        </is>
      </c>
      <c r="L106" s="2" t="inlineStr">
        <is>
          <t>美国商务部（经律所解读）</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RETURN_001</t>
        </is>
      </c>
      <c r="D110" s="2" t="inlineStr">
        <is>
          <t>恩捷股份 Yunnan Energy New Material (Semcorp)：重新评估 / 回流中国（提高中国生产比例）</t>
        </is>
      </c>
      <c r="E110" s="2" t="inlineStr">
        <is>
          <t>供应链布局</t>
        </is>
      </c>
      <c r="F110" s="2" t="inlineStr">
        <is>
          <t>S</t>
        </is>
      </c>
      <c r="G110" s="2" t="n">
        <v>0</v>
      </c>
      <c r="H110" s="2" t="n">
        <v>2</v>
      </c>
      <c r="I110" s="3" t="n">
        <v>0</v>
      </c>
      <c r="J110" s="3" t="n">
        <v>2</v>
      </c>
      <c r="K110" s="2" t="inlineStr">
        <is>
          <t>企业回流案例，与受限方筛查无关</t>
        </is>
      </c>
      <c r="L110" s="2" t="inlineStr">
        <is>
          <t>恩捷股份公告（经东方财富网 / 央广网报道）</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11">
      <c r="A111" s="2" t="inlineStr">
        <is>
          <t>Q022</t>
        </is>
      </c>
      <c r="B111" s="2" t="n">
        <v>5</v>
      </c>
      <c r="C111" s="2" t="inlineStr">
        <is>
          <t>RELOC_006</t>
        </is>
      </c>
      <c r="D111" s="2" t="inlineStr">
        <is>
          <t>蜂巢能源 SVOLT：中国 → 东南亚转移（多地区混合布局）</t>
        </is>
      </c>
      <c r="E111" s="2" t="inlineStr">
        <is>
          <t>供应链布局</t>
        </is>
      </c>
      <c r="F111" s="2" t="inlineStr">
        <is>
          <t>B+</t>
        </is>
      </c>
      <c r="G111" s="2" t="n">
        <v>0</v>
      </c>
      <c r="H111" s="2" t="n">
        <v>1</v>
      </c>
      <c r="I111" s="3" t="n">
        <v>0</v>
      </c>
      <c r="J111" s="3" t="n">
        <v>1</v>
      </c>
      <c r="K111" s="2" t="inlineStr">
        <is>
          <t>企业建厂案例，与受限方筛查无关</t>
        </is>
      </c>
      <c r="L111" s="2" t="inlineStr">
        <is>
          <t>澎湃新闻</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 三、实际决策（Actual Decision） 决策分类：多地区混合布局 决策内容：在泰国春武里府是拉差市建设电池工厂（模组 PACK + 电芯），2024-02-28 正式投产并批量交付，配套长城欧拉、合众/哪吒等中国车企在泰车型；当年计划交付超 2 万套 PACK；中国产能保留。 ## 四、相关风险（Related Risk） 风险类别：Market Access Risk; Trade Risk; Operational Risk ## 五、后续结果（Outcome） 成本影响：本地 PACK 组装降低关税与物流成本，投资规模小于整线电芯厂。</t>
        </is>
      </c>
    </row>
    <row r="112">
      <c r="A112" s="2" t="inlineStr">
        <is>
          <t>Q023</t>
        </is>
      </c>
      <c r="B112" s="2" t="n">
        <v>1</v>
      </c>
      <c r="C112" s="2" t="inlineStr">
        <is>
          <t>DOC_001</t>
        </is>
      </c>
      <c r="D112" s="2" t="inlineStr">
        <is>
          <t>Final Circumvention Determinations: Crystalline Silicon Photovoltaic Cells from Cambodia, Malaysia, Thailand and Vietnam（东南亚四国光伏反规避终裁）</t>
        </is>
      </c>
      <c r="E112" s="2" t="inlineStr">
        <is>
          <t>反规避</t>
        </is>
      </c>
      <c r="F112" s="2" t="inlineStr">
        <is>
          <t>S</t>
        </is>
      </c>
      <c r="G112" s="2" t="n">
        <v>2</v>
      </c>
      <c r="H112" s="2" t="n">
        <v>2</v>
      </c>
      <c r="I112" s="3" t="n">
        <v>2</v>
      </c>
      <c r="J112" s="3" t="n">
        <v>2</v>
      </c>
      <c r="K112" s="2" t="inlineStr">
        <is>
          <t>官方反规避终裁原文，直接</t>
        </is>
      </c>
      <c r="L112" s="2" t="inlineStr">
        <is>
          <t>美国商务部</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3">
      <c r="A113" s="2" t="inlineStr">
        <is>
          <t>Q023</t>
        </is>
      </c>
      <c r="B113" s="2" t="n">
        <v>2</v>
      </c>
      <c r="C113" s="2" t="inlineStr">
        <is>
          <t>CASE_002</t>
        </is>
      </c>
      <c r="D113" s="2" t="inlineStr">
        <is>
          <t>美国对东南亚四国光伏产品反规避认定：视为中国原产并适用对华双反</t>
        </is>
      </c>
      <c r="E113" s="2" t="inlineStr">
        <is>
          <t>反规避</t>
        </is>
      </c>
      <c r="F113" s="2" t="inlineStr">
        <is>
          <t>S</t>
        </is>
      </c>
      <c r="G113" s="2" t="n">
        <v>2</v>
      </c>
      <c r="H113" s="2" t="n">
        <v>2</v>
      </c>
      <c r="I113" s="3" t="n">
        <v>2</v>
      </c>
      <c r="J113" s="3" t="n">
        <v>2</v>
      </c>
      <c r="K113" s="2" t="inlineStr">
        <is>
          <t>“认定规避”判例，直接</t>
        </is>
      </c>
      <c r="L113" s="2" t="inlineStr">
        <is>
          <t>美国商务部（经律所解读）</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CASE_010</t>
        </is>
      </c>
      <c r="D116" s="2" t="inlineStr">
        <is>
          <t>白宫点名东南亚为非法转运高风险地区，并推出AI执法工具</t>
        </is>
      </c>
      <c r="E116" s="2" t="inlineStr">
        <is>
          <t>原产地与转运</t>
        </is>
      </c>
      <c r="F116" s="2" t="inlineStr">
        <is>
          <t>S</t>
        </is>
      </c>
      <c r="G116" s="2" t="n">
        <v>2</v>
      </c>
      <c r="H116" s="2" t="n">
        <v>2</v>
      </c>
      <c r="I116" s="3" t="n">
        <v>2</v>
      </c>
      <c r="J116" s="3" t="n">
        <v>2</v>
      </c>
      <c r="K116" s="2" t="inlineStr">
        <is>
          <t>东南亚转运高风险，直接</t>
        </is>
      </c>
      <c r="L116" s="2" t="inlineStr">
        <is>
          <t>美国白宫（经律所解读）</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 RELOC_004; RELOC_006</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 RELOC_004; RELOC_006</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 RELOC_004; RELOC_006</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RELOC_005</t>
        </is>
      </c>
      <c r="D120" s="2" t="inlineStr">
        <is>
          <t>欣旺达 Sunwoda：中国 → 东南亚转移（多地区混合布局）</t>
        </is>
      </c>
      <c r="E120" s="2" t="inlineStr">
        <is>
          <t>供应链布局</t>
        </is>
      </c>
      <c r="F120" s="2" t="inlineStr">
        <is>
          <t>B+</t>
        </is>
      </c>
      <c r="G120" s="2" t="n">
        <v>0</v>
      </c>
      <c r="H120" s="2" t="n">
        <v>1</v>
      </c>
      <c r="I120" s="3" t="n">
        <v>1</v>
      </c>
      <c r="J120" s="3" t="n">
        <v>1</v>
      </c>
      <c r="K120" s="2" t="inlineStr">
        <is>
          <t>越南建厂案例，机会侧间接佐证 ｜ 人工判定与Auto(0)不同，请复核</t>
        </is>
      </c>
      <c r="L120" s="2" t="inlineStr">
        <is>
          <t>东方财富网 / 腾讯新闻</t>
        </is>
      </c>
      <c r="M120" s="2" t="inlineStr">
        <is>
          <t>Market Access</t>
        </is>
      </c>
      <c r="N120" s="2" t="inlineStr">
        <is>
          <t>market_access</t>
        </is>
      </c>
      <c r="O120" s="2" t="inlineStr">
        <is>
          <t>CASE_007; CASE_008; CASE_010; CSIS_001; WH_001; WH_002; RELOC_004; RELOC_006</t>
        </is>
      </c>
      <c r="P120" s="2" t="inlineStr">
        <is>
          <t>董事会想比较东南亚布局带来的市场准入机会与美国强化转运执法带来的风险。现有证据库中哪些政策和企业案例应一起看？</t>
        </is>
      </c>
      <c r="Q120" s="2" t="inlineStr">
        <is>
          <t>## 二、决策触发（Decision Trigger） 触发类型：tariff_pressure（关税压力） 触发细节：美国对华加征关税及客户'中国+1'采购要求，推动消费类电芯产线外移。 ## 三、实际决策（Actual Decision） 决策分类：多地区混合布局 决策内容：2024-07-15 公告拟通过下属子公司香港欣威设立越南锂威有限公司，投建越南锂威消费类锂电池工厂项目，投资总额不超过 20 亿元人民币；2026-08 公司表示越南消费类电芯生产基地预计 2026 年底投产。中国产能保留。 ## 四、相关风险（Related Risk） 风险</t>
        </is>
      </c>
    </row>
    <row r="121">
      <c r="A121" s="2" t="inlineStr">
        <is>
          <t>Q024</t>
        </is>
      </c>
      <c r="B121" s="2" t="n">
        <v>5</v>
      </c>
      <c r="C121" s="2" t="inlineStr">
        <is>
          <t>RELOC_002</t>
        </is>
      </c>
      <c r="D121" s="2" t="inlineStr">
        <is>
          <t>长安汽车 Changan Automobile：中国 → 东南亚转移（多地区混合布局）</t>
        </is>
      </c>
      <c r="E121" s="2" t="inlineStr">
        <is>
          <t>供应链布局</t>
        </is>
      </c>
      <c r="F121" s="2" t="inlineStr">
        <is>
          <t>S</t>
        </is>
      </c>
      <c r="G121" s="2" t="n">
        <v>0</v>
      </c>
      <c r="H121" s="2" t="n">
        <v>2</v>
      </c>
      <c r="I121" s="3" t="n">
        <v>1</v>
      </c>
      <c r="J121" s="3" t="n">
        <v>2</v>
      </c>
      <c r="K121" s="2" t="inlineStr">
        <is>
          <t>泰国建厂案例，机会侧间接佐证 ｜ 人工判定与Auto(0)不同，请复核</t>
        </is>
      </c>
      <c r="L121" s="2" t="inlineStr">
        <is>
          <t>易车 / 证券之星（投资者互动平台）</t>
        </is>
      </c>
      <c r="M121" s="2" t="inlineStr">
        <is>
          <t>Market Access</t>
        </is>
      </c>
      <c r="N121" s="2" t="inlineStr">
        <is>
          <t>market_access</t>
        </is>
      </c>
      <c r="O121" s="2" t="inlineStr">
        <is>
          <t>CASE_007; CASE_008; CASE_010; CSIS_001; WH_001; WH_002; RELOC_004; RELOC_006</t>
        </is>
      </c>
      <c r="P121" s="2" t="inlineStr">
        <is>
          <t>董事会想比较东南亚布局带来的市场准入机会与美国强化转运执法带来的风险。现有证据库中哪些政策和企业案例应一起看？</t>
        </is>
      </c>
      <c r="Q121" s="2" t="inlineStr">
        <is>
          <t>## 二、决策触发（Decision Trigger） 触发类型：market_access（市场准入） 触发细节：泰国 EV3.5 补贴政策要求本地生产，才能享受补贴与关税优惠。 ## 三、实际决策（Actual Decision） 决策分类：多地区混合布局 决策内容：在泰国罗勇府建设整车工厂，2025-05-16 竣工投产，全球累计第 2859 万辆（深蓝 S05）在泰下线；中国产能保留。 ## 四、相关风险（Related Risk） 风险类别：Market Access Risk; Trade Risk; Operational Risk ##</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WEF_001</t>
        </is>
      </c>
      <c r="D125" s="2" t="inlineStr">
        <is>
          <t>Global Risks Report 2026（全球风险报告2026，第21版）</t>
        </is>
      </c>
      <c r="E125" s="2" t="inlineStr">
        <is>
          <t>宏观风险</t>
        </is>
      </c>
      <c r="F125" s="2" t="inlineStr">
        <is>
          <t>A+</t>
        </is>
      </c>
      <c r="G125" s="2" t="n">
        <v>2</v>
      </c>
      <c r="H125" s="2" t="n">
        <v>2</v>
      </c>
      <c r="I125" s="3" t="n">
        <v>2</v>
      </c>
      <c r="J125" s="3" t="n">
        <v>2</v>
      </c>
      <c r="K125" s="2" t="inlineStr">
        <is>
          <t>首要风险与不确定性，直接</t>
        </is>
      </c>
      <c r="L125" s="2" t="inlineStr">
        <is>
          <t>世界经济论坛（WEF）</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126">
      <c r="A126" s="2" t="inlineStr">
        <is>
          <t>Q025</t>
        </is>
      </c>
      <c r="B126" s="2" t="n">
        <v>5</v>
      </c>
      <c r="C126" s="2" t="inlineStr">
        <is>
          <t>MCK_001</t>
        </is>
      </c>
      <c r="D126" s="2" t="inlineStr">
        <is>
          <t>The art, science, and technology of geopolitical scenario planning</t>
        </is>
      </c>
      <c r="E126" s="2" t="inlineStr">
        <is>
          <t>宏观风险</t>
        </is>
      </c>
      <c r="F126" s="2" t="inlineStr">
        <is>
          <t>A</t>
        </is>
      </c>
      <c r="G126" s="2" t="n">
        <v>2</v>
      </c>
      <c r="H126" s="2" t="n">
        <v>2</v>
      </c>
      <c r="I126" s="3" t="n">
        <v>2</v>
      </c>
      <c r="J126" s="3" t="n">
        <v>2</v>
      </c>
      <c r="K126" s="2" t="inlineStr">
        <is>
          <t>地缘政治情景规划，直接</t>
        </is>
      </c>
      <c r="L126" s="2" t="inlineStr">
        <is>
          <t>麦肯锡（McKinsey）</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BIS_001</t>
        </is>
      </c>
      <c r="D128" s="2" t="inlineStr">
        <is>
          <t>Expansion of End-User Controls to Cover Affiliates of Certain Listed Entities（关联企业规则 / 50%穿透规则，临时最终规则）</t>
        </is>
      </c>
      <c r="E128" s="2" t="inlineStr">
        <is>
          <t>出口管制</t>
        </is>
      </c>
      <c r="F128" s="2" t="inlineStr">
        <is>
          <t>S</t>
        </is>
      </c>
      <c r="G128" s="2" t="n">
        <v>2</v>
      </c>
      <c r="H128" s="2" t="n">
        <v>2</v>
      </c>
      <c r="I128" s="3" t="n">
        <v>2</v>
      </c>
      <c r="J128" s="3" t="n">
        <v>2</v>
      </c>
      <c r="K128" s="2" t="inlineStr">
        <is>
          <t>情景A（规则恢复）的直接依据</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29">
      <c r="A129" s="2" t="inlineStr">
        <is>
          <t>Q026</t>
        </is>
      </c>
      <c r="B129" s="2" t="n">
        <v>3</v>
      </c>
      <c r="C129" s="2" t="inlineStr">
        <is>
          <t>CASE_009</t>
        </is>
      </c>
      <c r="D129" s="2" t="inlineStr">
        <is>
          <t>BIS 50%穿透规则：发布→暂停→2026-11-10恢复的完整时间线</t>
        </is>
      </c>
      <c r="E129" s="2" t="inlineStr">
        <is>
          <t>出口管制</t>
        </is>
      </c>
      <c r="F129" s="2" t="inlineStr">
        <is>
          <t>S</t>
        </is>
      </c>
      <c r="G129" s="2" t="n">
        <v>2</v>
      </c>
      <c r="H129" s="2" t="n">
        <v>2</v>
      </c>
      <c r="I129" s="3" t="n">
        <v>2</v>
      </c>
      <c r="J129" s="3" t="n">
        <v>2</v>
      </c>
      <c r="K129" s="2" t="inlineStr">
        <is>
          <t>完整时间线，直接</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30">
      <c r="A130" s="2" t="inlineStr">
        <is>
          <t>Q026</t>
        </is>
      </c>
      <c r="B130" s="2" t="n">
        <v>4</v>
      </c>
      <c r="C130" s="2" t="inlineStr">
        <is>
          <t>FR_001</t>
        </is>
      </c>
      <c r="D130" s="2" t="inlineStr">
        <is>
          <t>Federal Register API（美国联邦公报）</t>
        </is>
      </c>
      <c r="E130" s="2" t="inlineStr">
        <is>
          <t>出口管制/关税</t>
        </is>
      </c>
      <c r="F130" s="2" t="inlineStr">
        <is>
          <t>S</t>
        </is>
      </c>
      <c r="G130" s="2" t="n">
        <v>2</v>
      </c>
      <c r="H130" s="2" t="n">
        <v>2</v>
      </c>
      <c r="I130" s="3" t="n">
        <v>2</v>
      </c>
      <c r="J130" s="3" t="n">
        <v>2</v>
      </c>
      <c r="K130" s="2" t="inlineStr">
        <is>
          <t>跟踪情景走向的官方监测入口</t>
        </is>
      </c>
      <c r="L130" s="2" t="inlineStr">
        <is>
          <t>美国国家档案馆联邦公报办公室</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31">
      <c r="A131" s="2" t="inlineStr">
        <is>
          <t>Q026</t>
        </is>
      </c>
      <c r="B131" s="2" t="n">
        <v>5</v>
      </c>
      <c r="C131" s="2" t="inlineStr">
        <is>
          <t>CASE_001</t>
        </is>
      </c>
      <c r="D131" s="2" t="inlineStr">
        <is>
          <t>Dawang Metals：客户订单转移印度后回流，企业放弃海外建厂</t>
        </is>
      </c>
      <c r="E131" s="2" t="inlineStr">
        <is>
          <t>供应链布局</t>
        </is>
      </c>
      <c r="F131" s="2" t="inlineStr">
        <is>
          <t>B+</t>
        </is>
      </c>
      <c r="G131" s="2" t="n">
        <v>0</v>
      </c>
      <c r="H131" s="2" t="n">
        <v>1</v>
      </c>
      <c r="I131" s="3" t="n">
        <v>0</v>
      </c>
      <c r="J131" s="3" t="n">
        <v>1</v>
      </c>
      <c r="K131" s="2" t="inlineStr">
        <is>
          <t>金属铸造回流案例，与BIS规则情景无关</t>
        </is>
      </c>
      <c r="L131" s="2" t="inlineStr">
        <is>
          <t>路透社（Reuters）</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2">
      <c r="A132" s="2" t="inlineStr">
        <is>
          <t>Q027</t>
        </is>
      </c>
      <c r="B132" s="2" t="n">
        <v>1</v>
      </c>
      <c r="C132" s="2" t="inlineStr">
        <is>
          <t>DOC_001</t>
        </is>
      </c>
      <c r="D132" s="2" t="inlineStr">
        <is>
          <t>Final Circumvention Determinations: Crystalline Silicon Photovoltaic Cells from Cambodia, Malaysia, Thailand and Vietnam（东南亚四国光伏反规避终裁）</t>
        </is>
      </c>
      <c r="E132" s="2" t="inlineStr">
        <is>
          <t>反规避</t>
        </is>
      </c>
      <c r="F132" s="2" t="inlineStr">
        <is>
          <t>S</t>
        </is>
      </c>
      <c r="G132" s="2" t="n">
        <v>2</v>
      </c>
      <c r="H132" s="2" t="n">
        <v>2</v>
      </c>
      <c r="I132" s="3" t="n">
        <v>2</v>
      </c>
      <c r="J132" s="3" t="n">
        <v>2</v>
      </c>
      <c r="K132" s="2" t="inlineStr">
        <is>
          <t>终裁原文，直接</t>
        </is>
      </c>
      <c r="L132" s="2" t="inlineStr">
        <is>
          <t>美国商务部</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3">
      <c r="A133" s="2" t="inlineStr">
        <is>
          <t>Q027</t>
        </is>
      </c>
      <c r="B133" s="2" t="n">
        <v>2</v>
      </c>
      <c r="C133" s="2" t="inlineStr">
        <is>
          <t>CASE_002</t>
        </is>
      </c>
      <c r="D133" s="2" t="inlineStr">
        <is>
          <t>美国对东南亚四国光伏产品反规避认定：视为中国原产并适用对华双反</t>
        </is>
      </c>
      <c r="E133" s="2" t="inlineStr">
        <is>
          <t>反规避</t>
        </is>
      </c>
      <c r="F133" s="2" t="inlineStr">
        <is>
          <t>S</t>
        </is>
      </c>
      <c r="G133" s="2" t="n">
        <v>2</v>
      </c>
      <c r="H133" s="2" t="n">
        <v>2</v>
      </c>
      <c r="I133" s="3" t="n">
        <v>2</v>
      </c>
      <c r="J133" s="3" t="n">
        <v>2</v>
      </c>
      <c r="K133" s="2" t="inlineStr">
        <is>
          <t>“认定规避”判例，直接</t>
        </is>
      </c>
      <c r="L133" s="2" t="inlineStr">
        <is>
          <t>美国商务部（经律所解读）</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35">
      <c r="A135" s="2" t="inlineStr">
        <is>
          <t>Q027</t>
        </is>
      </c>
      <c r="B135" s="2" t="n">
        <v>4</v>
      </c>
      <c r="C135" s="2" t="inlineStr">
        <is>
          <t>CASE_010</t>
        </is>
      </c>
      <c r="D135" s="2" t="inlineStr">
        <is>
          <t>白宫点名东南亚为非法转运高风险地区，并推出AI执法工具</t>
        </is>
      </c>
      <c r="E135" s="2" t="inlineStr">
        <is>
          <t>原产地与转运</t>
        </is>
      </c>
      <c r="F135" s="2" t="inlineStr">
        <is>
          <t>S</t>
        </is>
      </c>
      <c r="G135" s="2" t="n">
        <v>1</v>
      </c>
      <c r="H135" s="2" t="n">
        <v>2</v>
      </c>
      <c r="I135" s="3" t="n">
        <v>2</v>
      </c>
      <c r="J135" s="3" t="n">
        <v>2</v>
      </c>
      <c r="K135" s="2" t="inlineStr">
        <is>
          <t>转运执法证据，题目点名要求 ｜ 人工判定与Auto(1)不同，请复核</t>
        </is>
      </c>
      <c r="L135" s="2" t="inlineStr">
        <is>
          <t>美国白宫（经律所解读）</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36">
      <c r="A136" s="2" t="inlineStr">
        <is>
          <t>Q027</t>
        </is>
      </c>
      <c r="B136" s="2" t="n">
        <v>5</v>
      </c>
      <c r="C136" s="2" t="inlineStr">
        <is>
          <t>WH_002</t>
        </is>
      </c>
      <c r="D136" s="2" t="inlineStr">
        <is>
          <t>The Great Transshipment Scam: Rise, Scope, and Costs（白宫非法转运报告）</t>
        </is>
      </c>
      <c r="E136" s="2" t="inlineStr">
        <is>
          <t>原产地与转运</t>
        </is>
      </c>
      <c r="F136" s="2" t="inlineStr">
        <is>
          <t>S</t>
        </is>
      </c>
      <c r="G136" s="2" t="n">
        <v>2</v>
      </c>
      <c r="H136" s="2" t="n">
        <v>2</v>
      </c>
      <c r="I136" s="3" t="n">
        <v>2</v>
      </c>
      <c r="J136" s="3" t="n">
        <v>2</v>
      </c>
      <c r="K136" s="2" t="inlineStr">
        <is>
          <t>转运执法证据，题目点名要求</t>
        </is>
      </c>
      <c r="L136" s="2" t="inlineStr">
        <is>
          <t>美国白宫贸易与制造业政策办公室</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8">
      <c r="A138" s="2" t="inlineStr">
        <is>
          <t>Q028</t>
        </is>
      </c>
      <c r="B138" s="2" t="n">
        <v>2</v>
      </c>
      <c r="C138" s="2" t="inlineStr">
        <is>
          <t>WH_002</t>
        </is>
      </c>
      <c r="D138" s="2" t="inlineStr">
        <is>
          <t>The Great Transshipment Scam: Rise, Scope, and Costs（白宫非法转运报告）</t>
        </is>
      </c>
      <c r="E138" s="2" t="inlineStr">
        <is>
          <t>原产地与转运</t>
        </is>
      </c>
      <c r="F138" s="2" t="inlineStr">
        <is>
          <t>S</t>
        </is>
      </c>
      <c r="G138" s="2" t="n">
        <v>2</v>
      </c>
      <c r="H138" s="2" t="n">
        <v>2</v>
      </c>
      <c r="I138" s="3" t="n">
        <v>2</v>
      </c>
      <c r="J138" s="3" t="n">
        <v>2</v>
      </c>
      <c r="K138" s="2" t="inlineStr">
        <is>
          <t>转运与原产地风险，直接</t>
        </is>
      </c>
      <c r="L138" s="2" t="inlineStr">
        <is>
          <t>美国白宫贸易与制造业政策办公室</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9">
      <c r="A139" s="2" t="inlineStr">
        <is>
          <t>Q028</t>
        </is>
      </c>
      <c r="B139" s="2" t="n">
        <v>3</v>
      </c>
      <c r="C139" s="2" t="inlineStr">
        <is>
          <t>DOC_001</t>
        </is>
      </c>
      <c r="D139" s="2" t="inlineStr">
        <is>
          <t>Final Circumvention Determinations: Crystalline Silicon Photovoltaic Cells from Cambodia, Malaysia, Thailand and Vietnam（东南亚四国光伏反规避终裁）</t>
        </is>
      </c>
      <c r="E139" s="2" t="inlineStr">
        <is>
          <t>反规避</t>
        </is>
      </c>
      <c r="F139" s="2" t="inlineStr">
        <is>
          <t>S</t>
        </is>
      </c>
      <c r="G139" s="2" t="n">
        <v>0</v>
      </c>
      <c r="H139" s="2" t="n">
        <v>2</v>
      </c>
      <c r="I139" s="3" t="n">
        <v>2</v>
      </c>
      <c r="J139" s="3" t="n">
        <v>2</v>
      </c>
      <c r="K139" s="2" t="inlineStr">
        <is>
          <t>反规避终裁，界定“实质性转变”，直接 ｜ 人工判定与Auto(0)不同，请复核</t>
        </is>
      </c>
      <c r="L139" s="2" t="inlineStr">
        <is>
          <t>美国商务部</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40">
      <c r="A140" s="2" t="inlineStr">
        <is>
          <t>Q028</t>
        </is>
      </c>
      <c r="B140" s="2" t="n">
        <v>4</v>
      </c>
      <c r="C140" s="2" t="inlineStr">
        <is>
          <t>CASE_002</t>
        </is>
      </c>
      <c r="D140" s="2" t="inlineStr">
        <is>
          <t>美国对东南亚四国光伏产品反规避认定：视为中国原产并适用对华双反</t>
        </is>
      </c>
      <c r="E140" s="2" t="inlineStr">
        <is>
          <t>反规避</t>
        </is>
      </c>
      <c r="F140" s="2" t="inlineStr">
        <is>
          <t>S</t>
        </is>
      </c>
      <c r="G140" s="2" t="n">
        <v>2</v>
      </c>
      <c r="H140" s="2" t="n">
        <v>2</v>
      </c>
      <c r="I140" s="3" t="n">
        <v>2</v>
      </c>
      <c r="J140" s="3" t="n">
        <v>2</v>
      </c>
      <c r="K140" s="2" t="inlineStr">
        <is>
          <t>“认定规避”判例，直接</t>
        </is>
      </c>
      <c r="L140" s="2" t="inlineStr">
        <is>
          <t>美国商务部（经律所解读）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41">
      <c r="A141" s="2" t="inlineStr">
        <is>
          <t>Q028</t>
        </is>
      </c>
      <c r="B141" s="2" t="n">
        <v>5</v>
      </c>
      <c r="C141" s="2" t="inlineStr">
        <is>
          <t>RETURN_001</t>
        </is>
      </c>
      <c r="D141" s="2" t="inlineStr">
        <is>
          <t>恩捷股份 Yunnan Energy New Material (Semcorp)：重新评估 / 回流中国（提高中国生产比例）</t>
        </is>
      </c>
      <c r="E141" s="2" t="inlineStr">
        <is>
          <t>供应链布局</t>
        </is>
      </c>
      <c r="F141" s="2" t="inlineStr">
        <is>
          <t>S</t>
        </is>
      </c>
      <c r="G141" s="2" t="n">
        <v>1</v>
      </c>
      <c r="H141" s="2" t="n">
        <v>2</v>
      </c>
      <c r="I141" s="3" t="n">
        <v>1</v>
      </c>
      <c r="J141" s="3" t="n">
        <v>2</v>
      </c>
      <c r="K141" s="2" t="inlineStr">
        <is>
          <t>企业终止海外项目，与两种采购方案比较弱相关</t>
        </is>
      </c>
      <c r="L141" s="2" t="inlineStr">
        <is>
          <t>恩捷股份公告（经东方财富网 / 央广网报道）</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WTO_001</t>
        </is>
      </c>
      <c r="D143" s="2" t="inlineStr">
        <is>
          <t>Global Trade Outlook and Statistics（2026年3月版）</t>
        </is>
      </c>
      <c r="E143" s="2" t="inlineStr">
        <is>
          <t>贸易流</t>
        </is>
      </c>
      <c r="F143" s="2" t="inlineStr">
        <is>
          <t>A+</t>
        </is>
      </c>
      <c r="G143" s="2" t="n">
        <v>0</v>
      </c>
      <c r="H143" s="2" t="n">
        <v>2</v>
      </c>
      <c r="I143" s="3" t="n">
        <v>1</v>
      </c>
      <c r="J143" s="3" t="n">
        <v>2</v>
      </c>
      <c r="K143" s="2" t="inlineStr">
        <is>
          <t>全球贸易展望，非投资政策/调查证据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4">
      <c r="A144" s="2" t="inlineStr">
        <is>
          <t>Q029</t>
        </is>
      </c>
      <c r="B144" s="2" t="n">
        <v>3</v>
      </c>
      <c r="C144" s="2" t="inlineStr">
        <is>
          <t>UNCTAD_001</t>
        </is>
      </c>
      <c r="D144" s="2" t="inlineStr">
        <is>
          <t>World Investment Report 2026: International Investment in a Turbulent Era</t>
        </is>
      </c>
      <c r="E144" s="2" t="inlineStr">
        <is>
          <t>对外投资</t>
        </is>
      </c>
      <c r="F144" s="2" t="inlineStr">
        <is>
          <t>A+</t>
        </is>
      </c>
      <c r="G144" s="2" t="n">
        <v>2</v>
      </c>
      <c r="H144" s="2" t="n">
        <v>2</v>
      </c>
      <c r="I144" s="3" t="n">
        <v>2</v>
      </c>
      <c r="J144" s="3" t="n">
        <v>2</v>
      </c>
      <c r="K144" s="2" t="inlineStr">
        <is>
          <t>全球投资趋势，直接</t>
        </is>
      </c>
      <c r="L144" s="2" t="inlineStr">
        <is>
          <t>联合国贸易和发展会议（UNCTAD）</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RETURN_001</t>
        </is>
      </c>
      <c r="D146" s="2" t="inlineStr">
        <is>
          <t>恩捷股份 Yunnan Energy New Material (Semcorp)：重新评估 / 回流中国（提高中国生产比例）</t>
        </is>
      </c>
      <c r="E146" s="2" t="inlineStr">
        <is>
          <t>供应链布局</t>
        </is>
      </c>
      <c r="F146" s="2" t="inlineStr">
        <is>
          <t>S</t>
        </is>
      </c>
      <c r="G146" s="2" t="n">
        <v>0</v>
      </c>
      <c r="H146" s="2" t="n">
        <v>2</v>
      </c>
      <c r="I146" s="3" t="n">
        <v>1</v>
      </c>
      <c r="J146" s="3" t="n">
        <v>2</v>
      </c>
      <c r="K146" s="2" t="inlineStr">
        <is>
          <t>企业终止海外项目案例，非题目所问的三类证据 ｜ 人工判定与Auto(0)不同，请复核</t>
        </is>
      </c>
      <c r="L146" s="2" t="inlineStr">
        <is>
          <t>恩捷股份公告（经东方财富网 / 央广网报道）</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 RELOC_001; RELOC_004; RELOC_006</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 RELOC_001; RELOC_004; RELOC_006</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RETURN_001</t>
        </is>
      </c>
      <c r="D149" s="2" t="inlineStr">
        <is>
          <t>恩捷股份 Yunnan Energy New Material (Semcorp)：重新评估 / 回流中国（提高中国生产比例）</t>
        </is>
      </c>
      <c r="E149" s="2" t="inlineStr">
        <is>
          <t>供应链布局</t>
        </is>
      </c>
      <c r="F149" s="2" t="inlineStr">
        <is>
          <t>S</t>
        </is>
      </c>
      <c r="G149" s="2" t="n">
        <v>1</v>
      </c>
      <c r="H149" s="2" t="n">
        <v>2</v>
      </c>
      <c r="I149" s="3" t="n">
        <v>1</v>
      </c>
      <c r="J149" s="3" t="n">
        <v>2</v>
      </c>
      <c r="K149" s="2" t="inlineStr">
        <is>
          <t>企业退出海外布局，说明集中布局风险，间接相关</t>
        </is>
      </c>
      <c r="L149" s="2" t="inlineStr">
        <is>
          <t>恩捷股份公告（经东方财富网 / 央广网报道）</t>
        </is>
      </c>
      <c r="M149" s="2" t="inlineStr">
        <is>
          <t>Scenario Simulation Support</t>
        </is>
      </c>
      <c r="N149" s="2" t="inlineStr">
        <is>
          <t>supply_chain</t>
        </is>
      </c>
      <c r="O149" s="2" t="inlineStr">
        <is>
          <t>CASE_004; CASE_005; CASE_006; CASE_007; WH_002; CASE_010; TRD_001; RELOC_001; RELOC_004; RELOC_006</t>
        </is>
      </c>
      <c r="P149" s="2" t="inlineStr">
        <is>
          <t>情景A：把泰国作为单一海外生产中心；情景B：在泰国和马来西亚分散布局。基于现有企业案例、美国转运执法和贸易数据，应该如何比较两种方案的集中度与市场准入风险？</t>
        </is>
      </c>
      <c r="Q149"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50">
      <c r="A150" s="2" t="inlineStr">
        <is>
          <t>Q030</t>
        </is>
      </c>
      <c r="B150" s="2" t="n">
        <v>4</v>
      </c>
      <c r="C150" s="2" t="inlineStr">
        <is>
          <t>RELOC_006</t>
        </is>
      </c>
      <c r="D150" s="2" t="inlineStr">
        <is>
          <t>蜂巢能源 SVOLT：中国 → 东南亚转移（多地区混合布局）</t>
        </is>
      </c>
      <c r="E150" s="2" t="inlineStr">
        <is>
          <t>供应链布局</t>
        </is>
      </c>
      <c r="F150" s="2" t="inlineStr">
        <is>
          <t>B+</t>
        </is>
      </c>
      <c r="G150" s="2" t="n">
        <v>2</v>
      </c>
      <c r="H150" s="2" t="n">
        <v>1</v>
      </c>
      <c r="I150" s="3" t="n">
        <v>2</v>
      </c>
      <c r="J150" s="3" t="n">
        <v>1</v>
      </c>
      <c r="K150" s="2" t="inlineStr">
        <is>
          <t>泰国电池厂案例，直接支持泰国单一中心方案</t>
        </is>
      </c>
      <c r="L150" s="2" t="inlineStr">
        <is>
          <t>澎湃新闻</t>
        </is>
      </c>
      <c r="M150" s="2" t="inlineStr">
        <is>
          <t>Scenario Simulation Support</t>
        </is>
      </c>
      <c r="N150" s="2" t="inlineStr">
        <is>
          <t>supply_chain</t>
        </is>
      </c>
      <c r="O150" s="2" t="inlineStr">
        <is>
          <t>CASE_004; CASE_005; CASE_006; CASE_007; WH_002; CASE_010; TRD_001; RELOC_001; RELOC_004; RELOC_006</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151">
      <c r="A151" s="2" t="inlineStr">
        <is>
          <t>Q030</t>
        </is>
      </c>
      <c r="B151" s="2" t="n">
        <v>5</v>
      </c>
      <c r="C151" s="2" t="inlineStr">
        <is>
          <t>WH_001</t>
        </is>
      </c>
      <c r="D151" s="2" t="inlineStr">
        <is>
          <t>Executive Order 14411: Strengthening Customs Enforcement（加强海关执法行政令）</t>
        </is>
      </c>
      <c r="E151" s="2" t="inlineStr">
        <is>
          <t>原产地与转运</t>
        </is>
      </c>
      <c r="F151" s="2" t="inlineStr">
        <is>
          <t>S</t>
        </is>
      </c>
      <c r="G151" s="2" t="n">
        <v>1</v>
      </c>
      <c r="H151" s="2" t="n">
        <v>2</v>
      </c>
      <c r="I151" s="3" t="n">
        <v>2</v>
      </c>
      <c r="J151" s="3" t="n">
        <v>2</v>
      </c>
      <c r="K151" s="2" t="inlineStr">
        <is>
          <t>海关执法，对应准入风险 ｜ 人工判定与Auto(1)不同，请复核</t>
        </is>
      </c>
      <c r="L151" s="2" t="inlineStr">
        <is>
          <t>美国白宫</t>
        </is>
      </c>
      <c r="M151" s="2" t="inlineStr">
        <is>
          <t>Scenario Simulation Support</t>
        </is>
      </c>
      <c r="N151" s="2" t="inlineStr">
        <is>
          <t>supply_chain</t>
        </is>
      </c>
      <c r="O151" s="2" t="inlineStr">
        <is>
          <t>CASE_004; CASE_005; CASE_006; CASE_007; WH_002; CASE_010; TRD_001; RELOC_001; RELOC_004; RELOC_006</t>
        </is>
      </c>
      <c r="P151" s="2" t="inlineStr">
        <is>
          <t>情景A：把泰国作为单一海外生产中心；情景B：在泰国和马来西亚分散布局。基于现有企业案例、美国转运执法和贸易数据，应该如何比较两种方案的集中度与市场准入风险？</t>
        </is>
      </c>
      <c r="Q151"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sheetData>
  <autoFilter ref="A1:Q151"/>
  <dataValidations count="1">
    <dataValidation sqref="I2:J151"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3</v>
      </c>
      <c r="D2" s="2">
        <f>IFERROR(AVERAGEIF('Item Scoring'!$A$2:$A$151,$A2,'Item Scoring'!$I$2:$I$151),"")</f>
        <v/>
      </c>
      <c r="E2" s="3">
        <f>IFERROR(AVERAGEIF('Item Scoring'!$A$2:$A$151,$A2,'Item Scoring'!$J$2:$J$151),"")</f>
        <v/>
      </c>
      <c r="F2" s="3" t="n">
        <v>2</v>
      </c>
      <c r="G2" s="3" t="inlineStr">
        <is>
          <t>泰国扩产案例充足，且新增回流案例可作节奏反向参照</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RELOC_001; RELOC_002; RELOC_006; CASE_004; CASE_005; CASE_006; CASE_008</t>
        </is>
      </c>
      <c r="L2" s="2" t="inlineStr">
        <is>
          <t>RELOC_006; RETURN_004; RELOC_003; RELOC_002; RELOC_001</t>
        </is>
      </c>
    </row>
    <row r="3">
      <c r="A3" s="2" t="inlineStr">
        <is>
          <t>Q002</t>
        </is>
      </c>
      <c r="B3" s="2" t="n">
        <v>1</v>
      </c>
      <c r="C3" s="2" t="n">
        <v>5</v>
      </c>
      <c r="D3" s="2">
        <f>IFERROR(AVERAGEIF('Item Scoring'!$A$2:$A$151,$A3,'Item Scoring'!$I$2:$I$151),"")</f>
        <v/>
      </c>
      <c r="E3" s="3">
        <f>IFERROR(AVERAGEIF('Item Scoring'!$A$2:$A$151,$A3,'Item Scoring'!$J$2:$J$151),"")</f>
        <v/>
      </c>
      <c r="F3" s="3" t="n">
        <v>2</v>
      </c>
      <c r="G3" s="3" t="inlineStr">
        <is>
          <t>马来西亚布局案例（含电池链）+ 美国官方转运判断均已覆盖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RELOC_004; RETURN_001; PLUS1_004; CASE_007; CASE_008; CASE_010</t>
        </is>
      </c>
      <c r="L3" s="2" t="inlineStr">
        <is>
          <t>RETURN_001; RELOC_004; CASE_007; PLUS1_004; CASE_010</t>
        </is>
      </c>
    </row>
    <row r="4">
      <c r="A4" s="2" t="inlineStr">
        <is>
          <t>Q003</t>
        </is>
      </c>
      <c r="B4" s="2" t="n">
        <v>1</v>
      </c>
      <c r="C4" s="2" t="n">
        <v>4</v>
      </c>
      <c r="D4" s="2">
        <f>IFERROR(AVERAGEIF('Item Scoring'!$A$2:$A$151,$A4,'Item Scoring'!$I$2:$I$151),"")</f>
        <v/>
      </c>
      <c r="E4" s="3">
        <f>IFERROR(AVERAGEIF('Item Scoring'!$A$2:$A$151,$A4,'Item Scoring'!$J$2:$J$151),"")</f>
        <v/>
      </c>
      <c r="F4" s="3" t="n">
        <v>2</v>
      </c>
      <c r="G4" s="3" t="inlineStr">
        <is>
          <t>新增4个回流/撤出案例，回流实例充足</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RETURN_001; RETURN_002; RETURN_003; RETURN_004</t>
        </is>
      </c>
      <c r="L4" s="2" t="inlineStr">
        <is>
          <t>CASE_001; RETURN_001; RETURN_004; RETURN_003; RELOC_006</t>
        </is>
      </c>
    </row>
    <row r="5">
      <c r="A5" s="2" t="inlineStr">
        <is>
          <t>Q004</t>
        </is>
      </c>
      <c r="B5" s="2" t="n">
        <v>1</v>
      </c>
      <c r="C5" s="2" t="n">
        <v>4</v>
      </c>
      <c r="D5" s="2">
        <f>IFERROR(AVERAGEIF('Item Scoring'!$A$2:$A$151,$A5,'Item Scoring'!$I$2:$I$151),"")</f>
        <v/>
      </c>
      <c r="E5" s="3">
        <f>IFERROR(AVERAGEIF('Item Scoring'!$A$2:$A$151,$A5,'Item Scoring'!$J$2:$J$151),"")</f>
        <v/>
      </c>
      <c r="F5" s="3" t="n">
        <v>2</v>
      </c>
      <c r="G5" s="3" t="inlineStr">
        <is>
          <t>东南亚电池链布局案例齐全，客户/地缘关联明确</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 RELOC_003; RELOC_004; RELOC_005; RELOC_006</t>
        </is>
      </c>
      <c r="L5" s="2" t="inlineStr">
        <is>
          <t>RELOC_005; RELOC_004; RELOC_003; RELOC_006; RETURN_001</t>
        </is>
      </c>
    </row>
    <row r="6">
      <c r="A6" s="2" t="inlineStr">
        <is>
          <t>Q005</t>
        </is>
      </c>
      <c r="B6" s="2" t="n">
        <v>1</v>
      </c>
      <c r="C6" s="2" t="n">
        <v>3</v>
      </c>
      <c r="D6" s="2">
        <f>IFERROR(AVERAGEIF('Item Scoring'!$A$2:$A$151,$A6,'Item Scoring'!$I$2:$I$151),"")</f>
        <v/>
      </c>
      <c r="E6" s="3">
        <f>IFERROR(AVERAGEIF('Item Scoring'!$A$2:$A$151,$A6,'Item Scoring'!$J$2:$J$151),"")</f>
        <v/>
      </c>
      <c r="F6" s="3" t="n">
        <v>2</v>
      </c>
      <c r="G6" s="3" t="inlineStr">
        <is>
          <t>规避/未规避双向判例 + 官方终裁齐全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RELOC_005; RETURN_001</t>
        </is>
      </c>
    </row>
    <row r="7">
      <c r="A7" s="2" t="inlineStr">
        <is>
          <t>Q006</t>
        </is>
      </c>
      <c r="B7" s="2" t="n">
        <v>1</v>
      </c>
      <c r="C7" s="2" t="n">
        <v>4</v>
      </c>
      <c r="D7" s="2">
        <f>IFERROR(AVERAGEIF('Item Scoring'!$A$2:$A$151,$A7,'Item Scoring'!$I$2:$I$151),"")</f>
        <v/>
      </c>
      <c r="E7" s="3">
        <f>IFERROR(AVERAGEIF('Item Scoring'!$A$2:$A$151,$A7,'Item Scoring'!$J$2:$J$151),"")</f>
        <v/>
      </c>
      <c r="F7" s="3" t="n">
        <v>2</v>
      </c>
      <c r="G7" s="3" t="inlineStr">
        <is>
          <t>中国目录与暂停 + 美方穿透规则齐全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BIS_001; BIS_002; MOFCOM_001; CASE_009; MOFCOM_002</t>
        </is>
      </c>
    </row>
    <row r="8">
      <c r="A8" s="2" t="inlineStr">
        <is>
          <t>Q007</t>
        </is>
      </c>
      <c r="B8" s="2" t="n">
        <v>1</v>
      </c>
      <c r="C8" s="2" t="n">
        <v>4</v>
      </c>
      <c r="D8" s="2">
        <f>IFERROR(AVERAGEIF('Item Scoring'!$A$2:$A$151,$A8,'Item Scoring'!$I$2:$I$151),"")</f>
        <v/>
      </c>
      <c r="E8" s="3">
        <f>IFERROR(AVERAGEIF('Item Scoring'!$A$2:$A$151,$A8,'Item Scoring'!$J$2:$J$151),"")</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FR_001</t>
        </is>
      </c>
    </row>
    <row r="9">
      <c r="A9" s="2" t="inlineStr">
        <is>
          <t>Q008</t>
        </is>
      </c>
      <c r="B9" s="2" t="n">
        <v>1</v>
      </c>
      <c r="C9" s="2" t="n">
        <v>3</v>
      </c>
      <c r="D9" s="2">
        <f>IFERROR(AVERAGEIF('Item Scoring'!$A$2:$A$151,$A9,'Item Scoring'!$I$2:$I$151),"")</f>
        <v/>
      </c>
      <c r="E9" s="3">
        <f>IFERROR(AVERAGEIF('Item Scoring'!$A$2:$A$151,$A9,'Item Scoring'!$J$2:$J$151),"")</f>
        <v/>
      </c>
      <c r="F9" s="3" t="n">
        <v>2</v>
      </c>
      <c r="G9" s="3" t="inlineStr">
        <is>
          <t>暂停期与恢复时点齐全，可直接判断窗口</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ITA_001; MOFCOM_002</t>
        </is>
      </c>
    </row>
    <row r="10">
      <c r="A10" s="2" t="inlineStr">
        <is>
          <t>Q009</t>
        </is>
      </c>
      <c r="B10" s="2" t="n">
        <v>1</v>
      </c>
      <c r="C10" s="2" t="n">
        <v>4</v>
      </c>
      <c r="D10" s="2">
        <f>IFERROR(AVERAGEIF('Item Scoring'!$A$2:$A$151,$A10,'Item Scoring'!$I$2:$I$151),"")</f>
        <v/>
      </c>
      <c r="E10" s="3">
        <f>IFERROR(AVERAGEIF('Item Scoring'!$A$2:$A$151,$A10,'Item Scoring'!$J$2:$J$151),"")</f>
        <v/>
      </c>
      <c r="F10" s="3" t="n">
        <v>2</v>
      </c>
      <c r="G10" s="3" t="inlineStr">
        <is>
          <t>政策方向 + 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WH_002; CASE_010; WH_001; CASE_002; CSIS_001</t>
        </is>
      </c>
    </row>
    <row r="11">
      <c r="A11" s="2" t="inlineStr">
        <is>
          <t>Q010</t>
        </is>
      </c>
      <c r="B11" s="2" t="n">
        <v>1</v>
      </c>
      <c r="C11" s="2" t="n">
        <v>2</v>
      </c>
      <c r="D11" s="2">
        <f>IFERROR(AVERAGEIF('Item Scoring'!$A$2:$A$151,$A11,'Item Scoring'!$I$2:$I$151),"")</f>
        <v/>
      </c>
      <c r="E11" s="3">
        <f>IFERROR(AVERAGEIF('Item Scoring'!$A$2:$A$151,$A11,'Item Scoring'!$J$2:$J$151),"")</f>
        <v/>
      </c>
      <c r="F11" s="3" t="n">
        <v>1</v>
      </c>
      <c r="G11" s="3" t="inlineStr">
        <is>
          <t>判例仅命中2条（CASE_002/CASE_010），缺终裁原文与未规避对照</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RETURN_004; RETURN_001; CASE_010; RELOC_005</t>
        </is>
      </c>
    </row>
    <row r="12">
      <c r="A12" s="2" t="inlineStr">
        <is>
          <t>Q011</t>
        </is>
      </c>
      <c r="B12" s="2" t="n">
        <v>1</v>
      </c>
      <c r="C12" s="2" t="n">
        <v>2</v>
      </c>
      <c r="D12" s="2">
        <f>IFERROR(AVERAGEIF('Item Scoring'!$A$2:$A$151,$A12,'Item Scoring'!$I$2:$I$151),"")</f>
        <v/>
      </c>
      <c r="E12" s="3">
        <f>IFERROR(AVERAGEIF('Item Scoring'!$A$2:$A$151,$A12,'Item Scoring'!$J$2:$J$151),"")</f>
        <v/>
      </c>
      <c r="F12" s="3" t="n">
        <v>1</v>
      </c>
      <c r="G12" s="3" t="inlineStr">
        <is>
          <t>仅命中中国规则与IMF证据，缺UNCTAD国际投资趋势</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IMF_001; RETURN_001; CNGOV_001; RETURN_004; RELOC_004</t>
        </is>
      </c>
    </row>
    <row r="13">
      <c r="A13" s="2" t="inlineStr">
        <is>
          <t>Q012</t>
        </is>
      </c>
      <c r="B13" s="2" t="n">
        <v>1</v>
      </c>
      <c r="C13" s="2" t="n">
        <v>2</v>
      </c>
      <c r="D13" s="2">
        <f>IFERROR(AVERAGEIF('Item Scoring'!$A$2:$A$151,$A13,'Item Scoring'!$I$2:$I$151),"")</f>
        <v/>
      </c>
      <c r="E13" s="3">
        <f>IFERROR(AVERAGEIF('Item Scoring'!$A$2:$A$151,$A13,'Item Scoring'!$J$2:$J$151),"")</f>
        <v/>
      </c>
      <c r="F13" s="3" t="n">
        <v>1</v>
      </c>
      <c r="G13" s="3" t="inlineStr">
        <is>
          <t>仅WEF+UNCTAD命中，缺IMF碎片化框架与麦肯锡情景证据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UNCTAD_001; CNGOV_001; RETURN_001; RELOC_005</t>
        </is>
      </c>
    </row>
    <row r="14">
      <c r="A14" s="2" t="inlineStr">
        <is>
          <t>Q013</t>
        </is>
      </c>
      <c r="B14" s="2" t="n">
        <v>1</v>
      </c>
      <c r="C14" s="2" t="n">
        <v>3</v>
      </c>
      <c r="D14" s="2">
        <f>IFERROR(AVERAGEIF('Item Scoring'!$A$2:$A$151,$A14,'Item Scoring'!$I$2:$I$151),"")</f>
        <v/>
      </c>
      <c r="E14" s="3">
        <f>IFERROR(AVERAGEIF('Item Scoring'!$A$2:$A$151,$A14,'Item Scoring'!$J$2:$J$151),"")</f>
        <v/>
      </c>
      <c r="F14" s="3" t="n">
        <v>2</v>
      </c>
      <c r="G14" s="3" t="inlineStr">
        <is>
          <t>贸易、投资、风险三类高权威证据基本齐全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UNCTAD_001; RETURN_004; IMF_001; RETURN_001; WTO_001</t>
        </is>
      </c>
    </row>
    <row r="15">
      <c r="A15" s="2" t="inlineStr">
        <is>
          <t>Q014</t>
        </is>
      </c>
      <c r="B15" s="2" t="n">
        <v>1</v>
      </c>
      <c r="C15" s="2" t="n">
        <v>4</v>
      </c>
      <c r="D15" s="2">
        <f>IFERROR(AVERAGEIF('Item Scoring'!$A$2:$A$151,$A15,'Item Scoring'!$I$2:$I$151),"")</f>
        <v/>
      </c>
      <c r="E15" s="3">
        <f>IFERROR(AVERAGEIF('Item Scoring'!$A$2:$A$151,$A15,'Item Scoring'!$J$2:$J$151),"")</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FR_001</t>
        </is>
      </c>
    </row>
    <row r="16">
      <c r="A16" s="2" t="inlineStr">
        <is>
          <t>Q015</t>
        </is>
      </c>
      <c r="B16" s="2" t="n">
        <v>1</v>
      </c>
      <c r="C16" s="2" t="n">
        <v>2</v>
      </c>
      <c r="D16" s="2">
        <f>IFERROR(AVERAGEIF('Item Scoring'!$A$2:$A$151,$A16,'Item Scoring'!$I$2:$I$151),"")</f>
        <v/>
      </c>
      <c r="E16" s="3">
        <f>IFERROR(AVERAGEIF('Item Scoring'!$A$2:$A$151,$A16,'Item Scoring'!$J$2:$J$151),"")</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Scoring'!$A$2:$A$151,$A17,'Item Scoring'!$I$2:$I$151),"")</f>
        <v/>
      </c>
      <c r="E17" s="3">
        <f>IFERROR(AVERAGEIF('Item Scoring'!$A$2:$A$151,$A17,'Item Scoring'!$J$2:$J$151),"")</f>
        <v/>
      </c>
      <c r="F17" s="3" t="n">
        <v>1</v>
      </c>
      <c r="G17" s="3" t="inlineStr">
        <is>
          <t>贸易数据两侧齐全，但缺政策侧证据（CASE_010未命中）</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RELOC_006; RELOC_003; RELOC_004; TRD_003</t>
        </is>
      </c>
    </row>
    <row r="18">
      <c r="A18" s="2" t="inlineStr">
        <is>
          <t>Q017</t>
        </is>
      </c>
      <c r="B18" s="2" t="n">
        <v>1</v>
      </c>
      <c r="C18" s="2" t="n">
        <v>3</v>
      </c>
      <c r="D18" s="2">
        <f>IFERROR(AVERAGEIF('Item Scoring'!$A$2:$A$151,$A18,'Item Scoring'!$I$2:$I$151),"")</f>
        <v/>
      </c>
      <c r="E18" s="3">
        <f>IFERROR(AVERAGEIF('Item Scoring'!$A$2:$A$151,$A18,'Item Scoring'!$J$2:$J$151),"")</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RELOC_003; RELOC_005; WH_002</t>
        </is>
      </c>
    </row>
    <row r="19">
      <c r="A19" s="2" t="inlineStr">
        <is>
          <t>Q018</t>
        </is>
      </c>
      <c r="B19" s="2" t="n">
        <v>1</v>
      </c>
      <c r="C19" s="2" t="n">
        <v>2</v>
      </c>
      <c r="D19" s="2">
        <f>IFERROR(AVERAGEIF('Item Scoring'!$A$2:$A$151,$A19,'Item Scoring'!$I$2:$I$151),"")</f>
        <v/>
      </c>
      <c r="E19" s="3">
        <f>IFERROR(AVERAGEIF('Item Scoring'!$A$2:$A$151,$A19,'Item Scoring'!$J$2:$J$151),"")</f>
        <v/>
      </c>
      <c r="F19" s="3" t="n">
        <v>1</v>
      </c>
      <c r="G19" s="3" t="inlineStr">
        <is>
          <t>案例侧仅命中RELOC_005/006/004/002/RETURN_001，缺中间品数据与反规避判例</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 RELOC_001; RELOC_003; RELOC_006; RETURN_001</t>
        </is>
      </c>
      <c r="L19" s="2" t="inlineStr">
        <is>
          <t>RELOC_005; RELOC_006; RELOC_004; RELOC_002; RETURN_001</t>
        </is>
      </c>
    </row>
    <row r="20">
      <c r="A20" s="2" t="inlineStr">
        <is>
          <t>Q019</t>
        </is>
      </c>
      <c r="B20" s="2" t="n">
        <v>1</v>
      </c>
      <c r="C20" s="2" t="n">
        <v>2</v>
      </c>
      <c r="D20" s="2">
        <f>IFERROR(AVERAGEIF('Item Scoring'!$A$2:$A$151,$A20,'Item Scoring'!$I$2:$I$151),"")</f>
        <v/>
      </c>
      <c r="E20" s="3">
        <f>IFERROR(AVERAGEIF('Item Scoring'!$A$2:$A$151,$A20,'Item Scoring'!$J$2:$J$151),"")</f>
        <v/>
      </c>
      <c r="F20" s="3" t="n">
        <v>1</v>
      </c>
      <c r="G20" s="3" t="inlineStr">
        <is>
          <t>企业案例齐全，但缺供应链调查证据（KPMG_001未命中）</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 PLUS1_001; PLUS1_002; RELOC_001</t>
        </is>
      </c>
      <c r="L20" s="2" t="inlineStr">
        <is>
          <t>RELOC_005; RETURN_001; RELOC_004; RELOC_001; PLUS1_001</t>
        </is>
      </c>
    </row>
    <row r="21">
      <c r="A21" s="2" t="inlineStr">
        <is>
          <t>Q020</t>
        </is>
      </c>
      <c r="B21" s="2" t="n">
        <v>1</v>
      </c>
      <c r="C21" s="2" t="n">
        <v>3</v>
      </c>
      <c r="D21" s="2">
        <f>IFERROR(AVERAGEIF('Item Scoring'!$A$2:$A$151,$A21,'Item Scoring'!$I$2:$I$151),"")</f>
        <v/>
      </c>
      <c r="E21" s="3">
        <f>IFERROR(AVERAGEIF('Item Scoring'!$A$2:$A$151,$A21,'Item Scoring'!$J$2:$J$151),"")</f>
        <v/>
      </c>
      <c r="F21" s="3" t="n">
        <v>2</v>
      </c>
      <c r="G21" s="3" t="inlineStr">
        <is>
          <t>依赖数据 + 执法证据 + 企业案例齐全</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CASE_010; RETURN_001; WH_001</t>
        </is>
      </c>
    </row>
    <row r="22">
      <c r="A22" s="2" t="inlineStr">
        <is>
          <t>Q021</t>
        </is>
      </c>
      <c r="B22" s="2" t="n">
        <v>1</v>
      </c>
      <c r="C22" s="2" t="n">
        <v>5</v>
      </c>
      <c r="D22" s="2">
        <f>IFERROR(AVERAGEIF('Item Scoring'!$A$2:$A$151,$A22,'Item Scoring'!$I$2:$I$151),"")</f>
        <v/>
      </c>
      <c r="E22" s="3">
        <f>IFERROR(AVERAGEIF('Item Scoring'!$A$2:$A$151,$A22,'Item Scoring'!$J$2:$J$151),"")</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WH_001; CASE_002</t>
        </is>
      </c>
    </row>
    <row r="23">
      <c r="A23" s="2" t="inlineStr">
        <is>
          <t>Q022</t>
        </is>
      </c>
      <c r="B23" s="2" t="n">
        <v>1</v>
      </c>
      <c r="C23" s="2" t="n">
        <v>3</v>
      </c>
      <c r="D23" s="2">
        <f>IFERROR(AVERAGEIF('Item Scoring'!$A$2:$A$151,$A23,'Item Scoring'!$I$2:$I$151),"")</f>
        <v/>
      </c>
      <c r="E23" s="3">
        <f>IFERROR(AVERAGEIF('Item Scoring'!$A$2:$A$151,$A23,'Item Scoring'!$J$2:$J$151),"")</f>
        <v/>
      </c>
      <c r="F23" s="3" t="n">
        <v>1</v>
      </c>
      <c r="G23" s="3" t="inlineStr">
        <is>
          <t>缺受限方筛查数据源（ITA_001未命中）</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RETURN_001; RELOC_006</t>
        </is>
      </c>
    </row>
    <row r="24">
      <c r="A24" s="2" t="inlineStr">
        <is>
          <t>Q023</t>
        </is>
      </c>
      <c r="B24" s="2" t="n">
        <v>1</v>
      </c>
      <c r="C24" s="2" t="n">
        <v>5</v>
      </c>
      <c r="D24" s="2">
        <f>IFERROR(AVERAGEIF('Item Scoring'!$A$2:$A$151,$A24,'Item Scoring'!$I$2:$I$151),"")</f>
        <v/>
      </c>
      <c r="E24" s="3">
        <f>IFERROR(AVERAGEIF('Item Scoring'!$A$2:$A$151,$A24,'Item Scoring'!$J$2:$J$151),"")</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DOC_001; CASE_002; CASE_003; WH_002; CASE_010</t>
        </is>
      </c>
    </row>
    <row r="25">
      <c r="A25" s="2" t="inlineStr">
        <is>
          <t>Q024</t>
        </is>
      </c>
      <c r="B25" s="2" t="n">
        <v>1</v>
      </c>
      <c r="C25" s="2" t="n">
        <v>3</v>
      </c>
      <c r="D25" s="2">
        <f>IFERROR(AVERAGEIF('Item Scoring'!$A$2:$A$151,$A25,'Item Scoring'!$I$2:$I$151),"")</f>
        <v/>
      </c>
      <c r="E25" s="3">
        <f>IFERROR(AVERAGEIF('Item Scoring'!$A$2:$A$151,$A25,'Item Scoring'!$J$2:$J$151),"")</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 RELOC_004; RELOC_006</t>
        </is>
      </c>
      <c r="L25" s="2" t="inlineStr">
        <is>
          <t>CASE_010; WH_002; WH_001; RELOC_005; RELOC_002</t>
        </is>
      </c>
    </row>
    <row r="26">
      <c r="A26" s="2" t="inlineStr">
        <is>
          <t>Q025</t>
        </is>
      </c>
      <c r="B26" s="2" t="n">
        <v>1</v>
      </c>
      <c r="C26" s="2" t="n">
        <v>5</v>
      </c>
      <c r="D26" s="2">
        <f>IFERROR(AVERAGEIF('Item Scoring'!$A$2:$A$151,$A26,'Item Scoring'!$I$2:$I$151),"")</f>
        <v/>
      </c>
      <c r="E26" s="3">
        <f>IFERROR(AVERAGEIF('Item Scoring'!$A$2:$A$151,$A26,'Item Scoring'!$J$2:$J$151),"")</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WEF_001; MCK_001</t>
        </is>
      </c>
    </row>
    <row r="27">
      <c r="A27" s="2" t="inlineStr">
        <is>
          <t>Q026</t>
        </is>
      </c>
      <c r="B27" s="2" t="n">
        <v>1</v>
      </c>
      <c r="C27" s="2" t="n">
        <v>4</v>
      </c>
      <c r="D27" s="2">
        <f>IFERROR(AVERAGEIF('Item Scoring'!$A$2:$A$151,$A27,'Item Scoring'!$I$2:$I$151),"")</f>
        <v/>
      </c>
      <c r="E27" s="3">
        <f>IFERROR(AVERAGEIF('Item Scoring'!$A$2:$A$151,$A27,'Item Scoring'!$J$2:$J$151),"")</f>
        <v/>
      </c>
      <c r="F27" s="3" t="n">
        <v>2</v>
      </c>
      <c r="G27" s="3" t="inlineStr">
        <is>
          <t>两种情景均有直接依据</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BIS_001; CASE_009; FR_001; CASE_001</t>
        </is>
      </c>
    </row>
    <row r="28">
      <c r="A28" s="2" t="inlineStr">
        <is>
          <t>Q027</t>
        </is>
      </c>
      <c r="B28" s="2" t="n">
        <v>1</v>
      </c>
      <c r="C28" s="2" t="n">
        <v>4</v>
      </c>
      <c r="D28" s="2">
        <f>IFERROR(AVERAGEIF('Item Scoring'!$A$2:$A$151,$A28,'Item Scoring'!$I$2:$I$151),"")</f>
        <v/>
      </c>
      <c r="E28" s="3">
        <f>IFERROR(AVERAGEIF('Item Scoring'!$A$2:$A$151,$A28,'Item Scoring'!$J$2:$J$151),"")</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DOC_001; CASE_002; CASE_003; CASE_010; WH_002</t>
        </is>
      </c>
    </row>
    <row r="29">
      <c r="A29" s="2" t="inlineStr">
        <is>
          <t>Q028</t>
        </is>
      </c>
      <c r="B29" s="2" t="n">
        <v>1</v>
      </c>
      <c r="C29" s="2" t="n">
        <v>3</v>
      </c>
      <c r="D29" s="2">
        <f>IFERROR(AVERAGEIF('Item Scoring'!$A$2:$A$151,$A29,'Item Scoring'!$I$2:$I$151),"")</f>
        <v/>
      </c>
      <c r="E29" s="3">
        <f>IFERROR(AVERAGEIF('Item Scoring'!$A$2:$A$151,$A29,'Item Scoring'!$J$2:$J$151),"")</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WH_002; DOC_001; CASE_002; RETURN_001</t>
        </is>
      </c>
    </row>
    <row r="30">
      <c r="A30" s="2" t="inlineStr">
        <is>
          <t>Q029</t>
        </is>
      </c>
      <c r="B30" s="2" t="n">
        <v>1</v>
      </c>
      <c r="C30" s="2" t="n">
        <v>3</v>
      </c>
      <c r="D30" s="2">
        <f>IFERROR(AVERAGEIF('Item Scoring'!$A$2:$A$151,$A30,'Item Scoring'!$I$2:$I$151),"")</f>
        <v/>
      </c>
      <c r="E30" s="3">
        <f>IFERROR(AVERAGEIF('Item Scoring'!$A$2:$A$151,$A30,'Item Scoring'!$J$2:$J$151),"")</f>
        <v/>
      </c>
      <c r="F30" s="3" t="n">
        <v>2</v>
      </c>
      <c r="G30" s="3" t="inlineStr">
        <is>
          <t>投资政策与全球趋势齐全，企业调查证据缺失但可接受</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WTO_001; UNCTAD_001; CNGOV_001; RETURN_001</t>
        </is>
      </c>
    </row>
    <row r="31">
      <c r="A31" s="2" t="inlineStr">
        <is>
          <t>Q030</t>
        </is>
      </c>
      <c r="B31" s="2" t="n">
        <v>1</v>
      </c>
      <c r="C31" s="2" t="n">
        <v>3</v>
      </c>
      <c r="D31" s="2">
        <f>IFERROR(AVERAGEIF('Item Scoring'!$A$2:$A$151,$A31,'Item Scoring'!$I$2:$I$151),"")</f>
        <v/>
      </c>
      <c r="E31" s="3">
        <f>IFERROR(AVERAGEIF('Item Scoring'!$A$2:$A$151,$A31,'Item Scoring'!$J$2:$J$151),"")</f>
        <v/>
      </c>
      <c r="F31" s="3" t="n">
        <v>1</v>
      </c>
      <c r="G31" s="3" t="inlineStr">
        <is>
          <t>案例与执法证据齐全，但缺贸易数据侧（TRD_001未命中）</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 RELOC_001; RELOC_004; RELOC_006</t>
        </is>
      </c>
      <c r="L31" s="2" t="inlineStr">
        <is>
          <t>CASE_010; WH_002; RETURN_001; RELOC_006; WH_001</t>
        </is>
      </c>
    </row>
  </sheetData>
  <dataValidations count="1">
    <dataValidation sqref="F2:F31"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Scoring'!$D$2:$D$31)</f>
        <v/>
      </c>
      <c r="C5" t="inlineStr">
        <is>
          <t>&gt;= 1.5</t>
        </is>
      </c>
      <c r="D5">
        <f>IF(B5="","",IF(B5&gt;=1.5,"PASS","FAIL"))</f>
        <v/>
      </c>
    </row>
    <row r="6">
      <c r="A6" t="inlineStr">
        <is>
          <t>Avg Authority (Top-5, 0-2)</t>
        </is>
      </c>
      <c r="B6" s="7">
        <f>AVERAGE('Question Scoring'!$E$2:$E$31)</f>
        <v/>
      </c>
      <c r="C6" t="inlineStr">
        <is>
          <t>&gt;= 1.5</t>
        </is>
      </c>
      <c r="D6">
        <f>IF(B6="","",IF(B6&gt;=1.5,"PASS","FAIL"))</f>
        <v/>
      </c>
    </row>
    <row r="7">
      <c r="A7" t="inlineStr">
        <is>
          <t>Hit@5 rate (&gt;=1 correct evidence in Top-5)</t>
        </is>
      </c>
      <c r="B7" s="8">
        <f>AVERAGE('Question Scoring'!$B$2:$B$31)</f>
        <v/>
      </c>
      <c r="C7" t="inlineStr">
        <is>
          <t>&gt;= 80%</t>
        </is>
      </c>
      <c r="D7">
        <f>IF(B7="","",IF(B7&gt;=0.8,"PASS","FAIL"))</f>
        <v/>
      </c>
    </row>
    <row r="8">
      <c r="A8" t="inlineStr">
        <is>
          <t>Avg Coverage (0-2)</t>
        </is>
      </c>
      <c r="B8" s="7">
        <f>IFERROR(AVERAGE('Question Scoring'!$F$2:$F$31),"")</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2026-10-12T09:35:55Z</dcterms:created>
  <dcterms:modified xsi:type="dcterms:W3CDTF">2026-10-12T09:35:57Z</dcterms:modified>
</cp:coreProperties>
</file>