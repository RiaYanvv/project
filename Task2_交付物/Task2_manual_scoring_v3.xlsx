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em Scoring" sheetId="1" state="visible" r:id="rId1"/>
    <sheet name="Question Scoring" sheetId="2" state="visible" r:id="rId2"/>
    <sheet name="Summary" sheetId="3" state="visible" r:id="rId3"/>
    <sheet name="Rubric" sheetId="4" state="visible" r:id="rId4"/>
  </sheets>
  <definedNames>
    <definedName name="_xlnm._FilterDatabase" localSheetId="0" hidden="1">'Item Scoring'!$A$1:$Q$151</definedName>
  </definedNames>
  <calcPr calcId="124519" fullCalcOnLoad="1"/>
</workbook>
</file>

<file path=xl/styles.xml><?xml version="1.0" encoding="utf-8"?>
<styleSheet xmlns="http://schemas.openxmlformats.org/spreadsheetml/2006/main">
  <numFmts count="2">
    <numFmt numFmtId="164" formatCode="0.000"/>
    <numFmt numFmtId="165" formatCode="0.0%"/>
  </numFmts>
  <fonts count="5">
    <font>
      <name val="Calibri"/>
      <family val="2"/>
      <color theme="1"/>
      <sz val="11"/>
      <scheme val="minor"/>
    </font>
    <font>
      <b val="1"/>
      <color rgb="00FFFFFF"/>
      <sz val="11"/>
    </font>
    <font>
      <b val="1"/>
      <color rgb="00FFFFFF"/>
    </font>
    <font>
      <b val="1"/>
      <color rgb="00FFFFFF"/>
      <sz val="12"/>
    </font>
    <font>
      <b val="1"/>
    </font>
  </fonts>
  <fills count="5">
    <fill>
      <patternFill/>
    </fill>
    <fill>
      <patternFill patternType="gray125"/>
    </fill>
    <fill>
      <patternFill patternType="solid">
        <fgColor rgb="001F3864"/>
      </patternFill>
    </fill>
    <fill>
      <patternFill patternType="solid">
        <fgColor rgb="00FFF2CC"/>
      </patternFill>
    </fill>
    <fill>
      <patternFill patternType="solid">
        <fgColor rgb="002E5E4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1" fillId="4" borderId="0" applyAlignment="1" pivotButton="0" quotePrefix="0" xfId="0">
      <alignment horizontal="center" vertical="center" wrapText="1"/>
    </xf>
    <xf numFmtId="0" fontId="3" fillId="2" borderId="0" pivotButton="0" quotePrefix="0" xfId="0"/>
    <xf numFmtId="0" fontId="2" fillId="2" borderId="0" pivotButton="0" quotePrefix="0" xfId="0"/>
    <xf numFmtId="164" fontId="0" fillId="0" borderId="0" pivotButton="0" quotePrefix="0" xfId="0"/>
    <xf numFmtId="165" fontId="0" fillId="0" borderId="0" pivotButton="0" quotePrefix="0" xfId="0"/>
    <xf numFmtId="0" fontId="0"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6" customWidth="1" min="2" max="2"/>
    <col width="18" customWidth="1" min="3" max="3"/>
    <col width="46" customWidth="1" min="4" max="4"/>
    <col width="15" customWidth="1" min="5" max="5"/>
    <col width="12" customWidth="1" min="6" max="6"/>
    <col width="10" customWidth="1" min="7" max="7"/>
    <col width="11" customWidth="1" min="8" max="8"/>
    <col width="12" customWidth="1" min="9" max="9"/>
    <col width="12" customWidth="1" min="10" max="10"/>
    <col width="46" customWidth="1" min="11" max="11"/>
    <col width="26" customWidth="1" min="12" max="12"/>
    <col width="20" customWidth="1" min="13" max="13"/>
    <col width="16" customWidth="1" min="14" max="14"/>
    <col width="24" customWidth="1" min="15" max="15"/>
    <col width="60" customWidth="1" min="16" max="16"/>
    <col width="70" customWidth="1" min="17" max="17"/>
  </cols>
  <sheetData>
    <row r="1" ht="32" customHeight="1">
      <c r="A1" s="1" t="inlineStr">
        <is>
          <t>Question ID</t>
        </is>
      </c>
      <c r="B1" s="1" t="inlineStr">
        <is>
          <t>Rank</t>
        </is>
      </c>
      <c r="C1" s="1" t="inlineStr">
        <is>
          <t>Retrieved Evidence ID</t>
        </is>
      </c>
      <c r="D1" s="1" t="inlineStr">
        <is>
          <t>Title</t>
        </is>
      </c>
      <c r="E1" s="1" t="inlineStr">
        <is>
          <t>Retrieved Topic</t>
        </is>
      </c>
      <c r="F1" s="1" t="inlineStr">
        <is>
          <t>Authority (S/A+/A/B+)</t>
        </is>
      </c>
      <c r="G1" s="1" t="inlineStr">
        <is>
          <t>Auto Relevance (0-2)</t>
        </is>
      </c>
      <c r="H1" s="1" t="inlineStr">
        <is>
          <t>Auto Authority (0-2)</t>
        </is>
      </c>
      <c r="I1" s="1" t="inlineStr">
        <is>
          <t>Relevance (0/1/2)</t>
        </is>
      </c>
      <c r="J1" s="1" t="inlineStr">
        <is>
          <t>Authority (0/1/2)</t>
        </is>
      </c>
      <c r="K1" s="1" t="inlineStr">
        <is>
          <t>Notes</t>
        </is>
      </c>
      <c r="L1" s="1" t="inlineStr">
        <is>
          <t>Publisher</t>
        </is>
      </c>
      <c r="M1" s="1" t="inlineStr">
        <is>
          <t>Scenario Category</t>
        </is>
      </c>
      <c r="N1" s="1" t="inlineStr">
        <is>
          <t>Expected Topic</t>
        </is>
      </c>
      <c r="O1" s="1" t="inlineStr">
        <is>
          <t>Expected Evidence IDs</t>
        </is>
      </c>
      <c r="P1" s="1" t="inlineStr">
        <is>
          <t>Question</t>
        </is>
      </c>
      <c r="Q1" s="1" t="inlineStr">
        <is>
          <t>Evidence Excerpt</t>
        </is>
      </c>
    </row>
    <row r="2">
      <c r="A2" s="2" t="inlineStr">
        <is>
          <t>Q001</t>
        </is>
      </c>
      <c r="B2" s="2" t="n">
        <v>1</v>
      </c>
      <c r="C2" s="2" t="inlineStr">
        <is>
          <t>RELOC_006</t>
        </is>
      </c>
      <c r="D2" s="2" t="inlineStr">
        <is>
          <t>蜂巢能源 SVOLT：中国 → 东南亚转移（多地区混合布局）</t>
        </is>
      </c>
      <c r="E2" s="2" t="inlineStr">
        <is>
          <t>供应链布局</t>
        </is>
      </c>
      <c r="F2" s="2" t="inlineStr">
        <is>
          <t>B+</t>
        </is>
      </c>
      <c r="G2" s="2" t="n">
        <v>2</v>
      </c>
      <c r="H2" s="2" t="n">
        <v>1</v>
      </c>
      <c r="I2" s="3" t="n">
        <v>2</v>
      </c>
      <c r="J2" s="3" t="n">
        <v>1</v>
      </c>
      <c r="K2" s="2" t="inlineStr">
        <is>
          <t>蜂巢能源泰国电池工厂已投产，直接案例</t>
        </is>
      </c>
      <c r="L2" s="2" t="inlineStr">
        <is>
          <t>澎湃新闻</t>
        </is>
      </c>
      <c r="M2" s="2" t="inlineStr">
        <is>
          <t>Company Intelligence</t>
        </is>
      </c>
      <c r="N2" s="2" t="inlineStr">
        <is>
          <t>supply_chain</t>
        </is>
      </c>
      <c r="O2" s="2" t="inlineStr">
        <is>
          <t>RELOC_001; RELOC_002; RELOC_006; CASE_004; CASE_005; CASE_006; CASE_008</t>
        </is>
      </c>
      <c r="P2" s="2" t="inlineStr">
        <is>
          <t>我们正在评估把部分产能转移到泰国。现有企业案例显示，哪些中国制造企业已经在泰国建设或扩充产能？这些案例能为海外建厂节奏提供什么参考？</t>
        </is>
      </c>
      <c r="Q2" s="2" t="inlineStr">
        <is>
          <t>Evidence ID: RELOC_006 Title: 蜂巢能源 SVOLT：中国 → 东南亚转移（多地区混合布局） Publisher: 澎湃新闻 Country/Jurisdiction: CN/TH Publication date: 2024-02-28 Status: CURRENT Topic: 供应链布局 Applicability scope: GENERAL Related industries: 动力电池 Claim: 在泰国春武里府是拉差市建设电池工厂（模组 PACK + 电芯），2024-02-28 正式投产并批量交付，配套长</t>
        </is>
      </c>
    </row>
    <row r="3">
      <c r="A3" s="2" t="inlineStr">
        <is>
          <t>Q001</t>
        </is>
      </c>
      <c r="B3" s="2" t="n">
        <v>2</v>
      </c>
      <c r="C3" s="2" t="inlineStr">
        <is>
          <t>RETURN_004</t>
        </is>
      </c>
      <c r="D3" s="2" t="inlineStr">
        <is>
          <t>蜂巢能源 SVOLT（欧洲业务）：重新评估 / 回流中国（维持现有海外布局（收缩新增））</t>
        </is>
      </c>
      <c r="E3" s="2" t="inlineStr">
        <is>
          <t>供应链布局</t>
        </is>
      </c>
      <c r="F3" s="2" t="inlineStr">
        <is>
          <t>B+</t>
        </is>
      </c>
      <c r="G3" s="2" t="n">
        <v>1</v>
      </c>
      <c r="H3" s="2" t="n">
        <v>1</v>
      </c>
      <c r="I3" s="3" t="n">
        <v>0</v>
      </c>
      <c r="J3" s="3" t="n">
        <v>1</v>
      </c>
      <c r="K3" s="2" t="inlineStr">
        <is>
          <t>欧洲业务收缩，与泰国建厂无关 ｜ 人工判定与Auto(1)不同，请复核</t>
        </is>
      </c>
      <c r="L3" s="2" t="inlineStr">
        <is>
          <t>36氪 / 财新网</t>
        </is>
      </c>
      <c r="M3" s="2" t="inlineStr">
        <is>
          <t>Company Intelligence</t>
        </is>
      </c>
      <c r="N3" s="2" t="inlineStr">
        <is>
          <t>supply_chain</t>
        </is>
      </c>
      <c r="O3" s="2" t="inlineStr">
        <is>
          <t>RELOC_001; RELOC_002; RELOC_006; CASE_004; CASE_005; CASE_006; CASE_008</t>
        </is>
      </c>
      <c r="P3" s="2" t="inlineStr">
        <is>
          <t>我们正在评估把部分产能转移到泰国。现有企业案例显示，哪些中国制造企业已经在泰国建设或扩充产能？这些案例能为海外建厂节奏提供什么参考？</t>
        </is>
      </c>
      <c r="Q3" s="2" t="inlineStr">
        <is>
          <t>Evidence ID: RETURN_004 Title: 蜂巢能源 SVOLT（欧洲业务）：重新评估 / 回流中国（维持现有海外布局（收缩新增）） Publisher: 36氪 / 财新网 Country/Jurisdiction: CN/DE Publication date: 2024-10-28 Status: CURRENT Topic: 供应链布局 Applicability scope: GENERAL Related industries: 动力电池 Claim: 2024-05 取消勃兰登堡州电芯超级工厂计划，2024-10 宣布停建</t>
        </is>
      </c>
    </row>
    <row r="4">
      <c r="A4" s="2" t="inlineStr">
        <is>
          <t>Q001</t>
        </is>
      </c>
      <c r="B4" s="2" t="n">
        <v>3</v>
      </c>
      <c r="C4" s="2" t="inlineStr">
        <is>
          <t>RELOC_003</t>
        </is>
      </c>
      <c r="D4" s="2" t="inlineStr">
        <is>
          <t>国轩高科 Gotion High-Tech：中国 → 东南亚转移（多地区混合布局）</t>
        </is>
      </c>
      <c r="E4" s="2" t="inlineStr">
        <is>
          <t>供应链布局</t>
        </is>
      </c>
      <c r="F4" s="2" t="inlineStr">
        <is>
          <t>B+</t>
        </is>
      </c>
      <c r="G4" s="2" t="n">
        <v>1</v>
      </c>
      <c r="H4" s="2" t="n">
        <v>1</v>
      </c>
      <c r="I4" s="3" t="n">
        <v>0</v>
      </c>
      <c r="J4" s="3" t="n">
        <v>1</v>
      </c>
      <c r="K4" s="2" t="inlineStr">
        <is>
          <t>国轩为越南基地，非泰国 ｜ 人工判定与Auto(1)不同，请复核</t>
        </is>
      </c>
      <c r="L4" s="2" t="inlineStr">
        <is>
          <t>澎湃新闻 / 盖世汽车社区</t>
        </is>
      </c>
      <c r="M4" s="2" t="inlineStr">
        <is>
          <t>Company Intelligence</t>
        </is>
      </c>
      <c r="N4" s="2" t="inlineStr">
        <is>
          <t>supply_chain</t>
        </is>
      </c>
      <c r="O4" s="2" t="inlineStr">
        <is>
          <t>RELOC_001; RELOC_002; RELOC_006; CASE_004; CASE_005; CASE_006; CASE_008</t>
        </is>
      </c>
      <c r="P4" s="2" t="inlineStr">
        <is>
          <t>我们正在评估把部分产能转移到泰国。现有企业案例显示，哪些中国制造企业已经在泰国建设或扩充产能？这些案例能为海外建厂节奏提供什么参考？</t>
        </is>
      </c>
      <c r="Q4" s="2" t="inlineStr">
        <is>
          <t>Evidence ID: RELOC_003 Title: 国轩高科 Gotion High-Tech：中国 → 东南亚转移（多地区混合布局） Publisher: 澎湃新闻 / 盖世汽车社区 Country/Jurisdiction: CN/VN Publication date: 2022-11-19 Status: CURRENT Topic: 供应链布局 Applicability scope: GENERAL Related industries: 动力电池 Claim: 与 Vingroup 旗下 VinES 合资（国轩 51% / VinE</t>
        </is>
      </c>
    </row>
    <row r="5">
      <c r="A5" s="2" t="inlineStr">
        <is>
          <t>Q001</t>
        </is>
      </c>
      <c r="B5" s="2" t="n">
        <v>4</v>
      </c>
      <c r="C5" s="2" t="inlineStr">
        <is>
          <t>RELOC_002</t>
        </is>
      </c>
      <c r="D5" s="2" t="inlineStr">
        <is>
          <t>长安汽车 Changan Automobile：中国 → 东南亚转移（多地区混合布局）</t>
        </is>
      </c>
      <c r="E5" s="2" t="inlineStr">
        <is>
          <t>供应链布局</t>
        </is>
      </c>
      <c r="F5" s="2" t="inlineStr">
        <is>
          <t>S</t>
        </is>
      </c>
      <c r="G5" s="2" t="n">
        <v>2</v>
      </c>
      <c r="H5" s="2" t="n">
        <v>2</v>
      </c>
      <c r="I5" s="3" t="n">
        <v>2</v>
      </c>
      <c r="J5" s="3" t="n">
        <v>2</v>
      </c>
      <c r="K5" s="2" t="inlineStr">
        <is>
          <t>长安泰国整车工厂投产，直接案例</t>
        </is>
      </c>
      <c r="L5" s="2" t="inlineStr">
        <is>
          <t>易车 / 证券之星（投资者互动平台）</t>
        </is>
      </c>
      <c r="M5" s="2" t="inlineStr">
        <is>
          <t>Company Intelligence</t>
        </is>
      </c>
      <c r="N5" s="2" t="inlineStr">
        <is>
          <t>supply_chain</t>
        </is>
      </c>
      <c r="O5" s="2" t="inlineStr">
        <is>
          <t>RELOC_001; RELOC_002; RELOC_006; CASE_004; CASE_005; CASE_006; CASE_008</t>
        </is>
      </c>
      <c r="P5" s="2" t="inlineStr">
        <is>
          <t>我们正在评估把部分产能转移到泰国。现有企业案例显示，哪些中国制造企业已经在泰国建设或扩充产能？这些案例能为海外建厂节奏提供什么参考？</t>
        </is>
      </c>
      <c r="Q5" s="2" t="inlineStr">
        <is>
          <t>Evidence ID: RELOC_002 Title: 长安汽车 Changan Automobile：中国 → 东南亚转移（多地区混合布局） Publisher: 易车 / 证券之星（投资者互动平台） Country/Jurisdiction: CN/TH Publication date: 2025-05-16 Status: CURRENT Topic: 供应链布局 Applicability scope: GENERAL Related industries: 整车/汽车 Claim: 在泰国罗勇府建设整车工厂，2025-05-16 竣工投产</t>
        </is>
      </c>
    </row>
    <row r="6">
      <c r="A6" s="2" t="inlineStr">
        <is>
          <t>Q001</t>
        </is>
      </c>
      <c r="B6" s="2" t="n">
        <v>5</v>
      </c>
      <c r="C6" s="2" t="inlineStr">
        <is>
          <t>RELOC_001</t>
        </is>
      </c>
      <c r="D6" s="2" t="inlineStr">
        <is>
          <t>比亚迪 BYD：中国 → 东南亚转移（多地区混合布局）</t>
        </is>
      </c>
      <c r="E6" s="2" t="inlineStr">
        <is>
          <t>供应链布局</t>
        </is>
      </c>
      <c r="F6" s="2" t="inlineStr">
        <is>
          <t>S</t>
        </is>
      </c>
      <c r="G6" s="2" t="n">
        <v>2</v>
      </c>
      <c r="H6" s="2" t="n">
        <v>2</v>
      </c>
      <c r="I6" s="3" t="n">
        <v>2</v>
      </c>
      <c r="J6" s="3" t="n">
        <v>2</v>
      </c>
      <c r="K6" s="2" t="inlineStr">
        <is>
          <t>比亚迪泰国整车工厂投产，直接案例</t>
        </is>
      </c>
      <c r="L6" s="2" t="inlineStr">
        <is>
          <t>东方财富网（转比亚迪官方）</t>
        </is>
      </c>
      <c r="M6" s="2" t="inlineStr">
        <is>
          <t>Company Intelligence</t>
        </is>
      </c>
      <c r="N6" s="2" t="inlineStr">
        <is>
          <t>supply_chain</t>
        </is>
      </c>
      <c r="O6" s="2" t="inlineStr">
        <is>
          <t>RELOC_001; RELOC_002; RELOC_006; CASE_004; CASE_005; CASE_006; CASE_008</t>
        </is>
      </c>
      <c r="P6" s="2" t="inlineStr">
        <is>
          <t>我们正在评估把部分产能转移到泰国。现有企业案例显示，哪些中国制造企业已经在泰国建设或扩充产能？这些案例能为海外建厂节奏提供什么参考？</t>
        </is>
      </c>
      <c r="Q6" s="2" t="inlineStr">
        <is>
          <t>Evidence ID: RELOC_001 Title: 比亚迪 BYD：中国 → 东南亚转移（多地区混合布局） Publisher: 东方财富网（转比亚迪官方） Country/Jurisdiction: CN/TH Publication date: 2024-07-04 Status: CURRENT Topic: 供应链布局 Applicability scope: GENERAL Related industries: 整车/汽车 Claim: 2022-09 与 WHA 签约，在泰国罗勇府建全资乘用车工厂；2024-07-04 竣工投产，年</t>
        </is>
      </c>
    </row>
    <row r="7">
      <c r="A7" s="2" t="inlineStr">
        <is>
          <t>Q002</t>
        </is>
      </c>
      <c r="B7" s="2" t="n">
        <v>1</v>
      </c>
      <c r="C7" s="2" t="inlineStr">
        <is>
          <t>RETURN_001</t>
        </is>
      </c>
      <c r="D7" s="2" t="inlineStr">
        <is>
          <t>恩捷股份 Yunnan Energy New Material (Semcorp)：重新评估 / 回流中国（提高中国生产比例）</t>
        </is>
      </c>
      <c r="E7" s="2" t="inlineStr">
        <is>
          <t>供应链布局</t>
        </is>
      </c>
      <c r="F7" s="2" t="inlineStr">
        <is>
          <t>S</t>
        </is>
      </c>
      <c r="G7" s="2" t="n">
        <v>2</v>
      </c>
      <c r="H7" s="2" t="n">
        <v>2</v>
      </c>
      <c r="I7" s="3" t="n">
        <v>2</v>
      </c>
      <c r="J7" s="3" t="n">
        <v>2</v>
      </c>
      <c r="K7" s="2" t="inlineStr">
        <is>
          <t>恩捷终止马来西亚项目：马来西亚布局决策的直接案例</t>
        </is>
      </c>
      <c r="L7" s="2" t="inlineStr">
        <is>
          <t>恩捷股份公告（经东方财富网 / 央广网报道）</t>
        </is>
      </c>
      <c r="M7" s="2" t="inlineStr">
        <is>
          <t>Company Intelligence</t>
        </is>
      </c>
      <c r="N7" s="2" t="inlineStr">
        <is>
          <t>supply_chain</t>
        </is>
      </c>
      <c r="O7" s="2" t="inlineStr">
        <is>
          <t>RELOC_004; RETURN_001; PLUS1_004; CASE_007; CASE_008; CASE_010</t>
        </is>
      </c>
      <c r="P7" s="2" t="inlineStr">
        <is>
          <t>如果管理层想了解中国企业在马来西亚布局以降低地缘风险的公开案例，以及美国官方对马来西亚转运/原产地风险的判断，现有证据库里有哪些直接证据可参考？</t>
        </is>
      </c>
      <c r="Q7" s="2" t="inlineStr">
        <is>
          <t>## 一、决策前状态（Initial Situation） 生产布局：湿法锂电隔膜产能以中国为主（上海、珠海、无锡等），为全球隔膜龙头。 主要市场：中国 + 海外电池客户（含欧美）。 供应链结构：基膜与涂覆材料主要在中国生产，产品出口海外。 面临的问题：2024 年规划马来西亚隔膜项目（约 10 亿平方米/年、投资约 20 亿元）以求贴近海外客户并规避关税。 ## 二、决策触发（Decision Trigger） 触发类型：cost_change（成本变化） 触发细节：外部市场环境及行业竞争格局发生变化（隔膜价格下行、行业产能过剩、海外建厂成本高于预期）</t>
        </is>
      </c>
    </row>
    <row r="8">
      <c r="A8" s="2" t="inlineStr">
        <is>
          <t>Q002</t>
        </is>
      </c>
      <c r="B8" s="2" t="n">
        <v>2</v>
      </c>
      <c r="C8" s="2" t="inlineStr">
        <is>
          <t>RELOC_004</t>
        </is>
      </c>
      <c r="D8" s="2" t="inlineStr">
        <is>
          <t>亿纬锂能 EVE Energy：中国 → 东南亚转移（多地区混合布局）</t>
        </is>
      </c>
      <c r="E8" s="2" t="inlineStr">
        <is>
          <t>供应链布局</t>
        </is>
      </c>
      <c r="F8" s="2" t="inlineStr">
        <is>
          <t>B+</t>
        </is>
      </c>
      <c r="G8" s="2" t="n">
        <v>2</v>
      </c>
      <c r="H8" s="2" t="n">
        <v>1</v>
      </c>
      <c r="I8" s="3" t="n">
        <v>2</v>
      </c>
      <c r="J8" s="3" t="n">
        <v>1</v>
      </c>
      <c r="K8" s="2" t="inlineStr">
        <is>
          <t>亿纬锂能马来西亚工厂投产，直接案例</t>
        </is>
      </c>
      <c r="L8" s="2" t="inlineStr">
        <is>
          <t>新浪财经</t>
        </is>
      </c>
      <c r="M8" s="2" t="inlineStr">
        <is>
          <t>Company Intelligence</t>
        </is>
      </c>
      <c r="N8" s="2" t="inlineStr">
        <is>
          <t>supply_chain</t>
        </is>
      </c>
      <c r="O8" s="2" t="inlineStr">
        <is>
          <t>RELOC_004; RETURN_001; PLUS1_004; CASE_007; CASE_008; CASE_010</t>
        </is>
      </c>
      <c r="P8" s="2" t="inlineStr">
        <is>
          <t>如果管理层想了解中国企业在马来西亚布局以降低地缘风险的公开案例，以及美国官方对马来西亚转运/原产地风险的判断，现有证据库里有哪些直接证据可参考？</t>
        </is>
      </c>
      <c r="Q8" s="2" t="inlineStr">
        <is>
          <t>## 二、决策触发（Decision Trigger） 触发类型：tariff_pressure（关税压力） 触发细节：对美出口关税与'去中国化'供应链要求，迫使企业在东南亚布局产能以规避税率。 ## 三、实际决策（Actual Decision） 决策分类：多地区混合布局 决策内容：在马来西亚吉打州居林县建设海外工厂，二期于 2026 年 2 月投产运营，建筑面积约 60 万平方米，系公司首个海外大型锂电厂房项目，形成年产约 6.8 亿只圆柱电池产能；同时推进匈牙利、美国、印尼项目，中国产能保留。 ## 四、相关风险（Related Risk） 风险类</t>
        </is>
      </c>
    </row>
    <row r="9">
      <c r="A9" s="2" t="inlineStr">
        <is>
          <t>Q002</t>
        </is>
      </c>
      <c r="B9" s="2" t="n">
        <v>3</v>
      </c>
      <c r="C9" s="2" t="inlineStr">
        <is>
          <t>CASE_007</t>
        </is>
      </c>
      <c r="D9" s="2" t="inlineStr">
        <is>
          <t>华工正源：马来西亚工厂，公开表述为规避地缘风险</t>
        </is>
      </c>
      <c r="E9" s="2" t="inlineStr">
        <is>
          <t>供应链布局</t>
        </is>
      </c>
      <c r="F9" s="2" t="inlineStr">
        <is>
          <t>B+</t>
        </is>
      </c>
      <c r="G9" s="2" t="n">
        <v>2</v>
      </c>
      <c r="H9" s="2" t="n">
        <v>1</v>
      </c>
      <c r="I9" s="3" t="n">
        <v>2</v>
      </c>
      <c r="J9" s="3" t="n">
        <v>1</v>
      </c>
      <c r="K9" s="2" t="inlineStr">
        <is>
          <t>华工正源马来西亚工厂，公开表述为规避地缘风险，直接案例</t>
        </is>
      </c>
      <c r="L9" s="2" t="inlineStr">
        <is>
          <t>C114通信网</t>
        </is>
      </c>
      <c r="M9" s="2" t="inlineStr">
        <is>
          <t>Company Intelligence</t>
        </is>
      </c>
      <c r="N9" s="2" t="inlineStr">
        <is>
          <t>supply_chain</t>
        </is>
      </c>
      <c r="O9" s="2" t="inlineStr">
        <is>
          <t>RELOC_004; RETURN_001; PLUS1_004; CASE_007; CASE_008; CASE_010</t>
        </is>
      </c>
      <c r="P9" s="2" t="inlineStr">
        <is>
          <t>如果管理层想了解中国企业在马来西亚布局以降低地缘风险的公开案例，以及美国官方对马来西亚转运/原产地风险的判断，现有证据库里有哪些直接证据可参考？</t>
        </is>
      </c>
      <c r="Q9" s="2" t="inlineStr">
        <is>
          <t>资讯 视频 6G 光通信 物联网 量子通信 卫星互联网 数智低空 Cloud&amp;AI 政策 运营商 设备商 终端 财经 市场 会展 直播 2026/3/25 16:29 2026十大光模块厂商，光模块厂商有哪些 C114通信网 26 1 2026年，随着 AI 算力需求持续爆发与全球数据中心带宽升级加速，光模块行业迎来“800G普及+1. 6T放量”的双轮驱动阶段。 据行业预测，2026年全球800G光模块需求量有望突破4000万只，1. 6T需求亦进入商业化元年。 在这场高速光互联的竞逐中，中国光模块厂商凭借技术突破与产能优势占据全球主导地位。 本文综合</t>
        </is>
      </c>
    </row>
    <row r="10">
      <c r="A10" s="2" t="inlineStr">
        <is>
          <t>Q002</t>
        </is>
      </c>
      <c r="B10" s="2" t="n">
        <v>4</v>
      </c>
      <c r="C10" s="2" t="inlineStr">
        <is>
          <t>PLUS1_004</t>
        </is>
      </c>
      <c r="D10" s="2" t="inlineStr">
        <is>
          <t>晶科能源 JinkoSolar：China + 1 战略（多地区混合布局）</t>
        </is>
      </c>
      <c r="E10" s="2" t="inlineStr">
        <is>
          <t>供应链布局</t>
        </is>
      </c>
      <c r="F10" s="2" t="inlineStr">
        <is>
          <t>B+</t>
        </is>
      </c>
      <c r="G10" s="2" t="n">
        <v>2</v>
      </c>
      <c r="H10" s="2" t="n">
        <v>1</v>
      </c>
      <c r="I10" s="3" t="n">
        <v>1</v>
      </c>
      <c r="J10" s="3" t="n">
        <v>1</v>
      </c>
      <c r="K10" s="2" t="inlineStr">
        <is>
          <t>晶科含马来西亚枢纽，但为光伏多地区结构，非马来西亚布局主案例 ｜ 人工判定与Auto(2)不同，请复核</t>
        </is>
      </c>
      <c r="L10" s="2" t="inlineStr">
        <is>
          <t>东方财富财富号</t>
        </is>
      </c>
      <c r="M10" s="2" t="inlineStr">
        <is>
          <t>Company Intelligence</t>
        </is>
      </c>
      <c r="N10" s="2" t="inlineStr">
        <is>
          <t>supply_chain</t>
        </is>
      </c>
      <c r="O10" s="2" t="inlineStr">
        <is>
          <t>RELOC_004; RETURN_001; PLUS1_004; CASE_007; CASE_008; CASE_010</t>
        </is>
      </c>
      <c r="P10" s="2" t="inlineStr">
        <is>
          <t>如果管理层想了解中国企业在马来西亚布局以降低地缘风险的公开案例，以及美国官方对马来西亚转运/原产地风险的判断，现有证据库里有哪些直接证据可参考？</t>
        </is>
      </c>
      <c r="Q10" s="2" t="inlineStr">
        <is>
          <t>## 一、决策前状态（Initial Situation） 生产布局：硅片—电池—组件一体化产能以中国为核心。 主要市场：全球（中国、欧洲、美国、新兴市场）。 供应链结构：硅料、硅片主要在中国，组件通过海外基地与出口进入欧美。 面临的问题：美国对东南亚四国光伏产品的双反与反规避调查，使'中国—东南亚—美国'路径的关税优势不稳定（参见 Task 1 的 CASE_002/CASE_003）。 ## 二、决策触发（Decision Trigger） 触发类型：tariff_pressure（关税压力） 触发细节：美国对东南亚光伏组件的双反/反规避认定，以及美</t>
        </is>
      </c>
    </row>
    <row r="11">
      <c r="A11" s="2" t="inlineStr">
        <is>
          <t>Q002</t>
        </is>
      </c>
      <c r="B11" s="2" t="n">
        <v>5</v>
      </c>
      <c r="C11" s="2" t="inlineStr">
        <is>
          <t>CASE_010</t>
        </is>
      </c>
      <c r="D11" s="2" t="inlineStr">
        <is>
          <t>白宫点名东南亚为非法转运高风险地区，并推出AI执法工具</t>
        </is>
      </c>
      <c r="E11" s="2" t="inlineStr">
        <is>
          <t>原产地与转运</t>
        </is>
      </c>
      <c r="F11" s="2" t="inlineStr">
        <is>
          <t>S</t>
        </is>
      </c>
      <c r="G11" s="2" t="n">
        <v>2</v>
      </c>
      <c r="H11" s="2" t="n">
        <v>2</v>
      </c>
      <c r="I11" s="3" t="n">
        <v>2</v>
      </c>
      <c r="J11" s="3" t="n">
        <v>2</v>
      </c>
      <c r="K11" s="2" t="inlineStr">
        <is>
          <t>白宫点名东南亚（含马来西亚）为转运高风险，美国官方判断</t>
        </is>
      </c>
      <c r="L11" s="2" t="inlineStr">
        <is>
          <t>美国白宫（经律所解读）</t>
        </is>
      </c>
      <c r="M11" s="2" t="inlineStr">
        <is>
          <t>Company Intelligence</t>
        </is>
      </c>
      <c r="N11" s="2" t="inlineStr">
        <is>
          <t>supply_chain</t>
        </is>
      </c>
      <c r="O11" s="2" t="inlineStr">
        <is>
          <t>RELOC_004; RETURN_001; PLUS1_004; CASE_007; CASE_008; CASE_010</t>
        </is>
      </c>
      <c r="P11" s="2" t="inlineStr">
        <is>
          <t>如果管理层想了解中国企业在马来西亚布局以降低地缘风险的公开案例，以及美国官方对马来西亚转运/原产地风险的判断，现有证据库里有哪些直接证据可参考？</t>
        </is>
      </c>
      <c r="Q11" s="2" t="inlineStr">
        <is>
          <t>Evidence ID: CASE_010 Title: 白宫点名东南亚为非法转运高风险地区，并推出AI执法工具 Publisher: 美国白宫（经律所解读） Country/Jurisdiction: US / Federal Publication date: 2026-08-13 Status: CURRENT Topic: 原产地与转运 Applicability scope: GENERAL Related industries: 通用 Key finding: 由WH_001与WH_002组成。对已在越南/泰国/马来西亚布局的企业，原产地举证</t>
        </is>
      </c>
    </row>
    <row r="12">
      <c r="A12" s="2" t="inlineStr">
        <is>
          <t>Q003</t>
        </is>
      </c>
      <c r="B12" s="2" t="n">
        <v>1</v>
      </c>
      <c r="C12" s="2" t="inlineStr">
        <is>
          <t>CASE_001</t>
        </is>
      </c>
      <c r="D12" s="2" t="inlineStr">
        <is>
          <t>Dawang Metals：客户订单转移印度后回流，企业放弃海外建厂</t>
        </is>
      </c>
      <c r="E12" s="2" t="inlineStr">
        <is>
          <t>供应链布局</t>
        </is>
      </c>
      <c r="F12" s="2" t="inlineStr">
        <is>
          <t>B+</t>
        </is>
      </c>
      <c r="G12" s="2" t="n">
        <v>2</v>
      </c>
      <c r="H12" s="2" t="n">
        <v>1</v>
      </c>
      <c r="I12" s="3" t="n">
        <v>2</v>
      </c>
      <c r="J12" s="3" t="n">
        <v>1</v>
      </c>
      <c r="K12" s="2" t="inlineStr">
        <is>
          <t>订单转印度后回流并放弃海外建厂，直接实例</t>
        </is>
      </c>
      <c r="L12" s="2" t="inlineStr">
        <is>
          <t>路透社（Reuters）</t>
        </is>
      </c>
      <c r="M12" s="2" t="inlineStr">
        <is>
          <t>Company Intelligence</t>
        </is>
      </c>
      <c r="N12" s="2" t="inlineStr">
        <is>
          <t>supply_chain</t>
        </is>
      </c>
      <c r="O12" s="2" t="inlineStr">
        <is>
          <t>CASE_001; RETURN_001; RETURN_002; RETURN_003; RETURN_004</t>
        </is>
      </c>
      <c r="P12" s="2" t="inlineStr">
        <is>
          <t>我们想判断企业是否会因为关税规避型海外迁移效果不佳而回流中国。现有案例中有没有订单先转移海外、随后回流并放弃海外建厂的实例？</t>
        </is>
      </c>
      <c r="Q12" s="2"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row>
    <row r="13">
      <c r="A13" s="2" t="inlineStr">
        <is>
          <t>Q003</t>
        </is>
      </c>
      <c r="B13" s="2" t="n">
        <v>2</v>
      </c>
      <c r="C13" s="2" t="inlineStr">
        <is>
          <t>RETURN_001</t>
        </is>
      </c>
      <c r="D13" s="2" t="inlineStr">
        <is>
          <t>恩捷股份 Yunnan Energy New Material (Semcorp)：重新评估 / 回流中国（提高中国生产比例）</t>
        </is>
      </c>
      <c r="E13" s="2" t="inlineStr">
        <is>
          <t>供应链布局</t>
        </is>
      </c>
      <c r="F13" s="2" t="inlineStr">
        <is>
          <t>S</t>
        </is>
      </c>
      <c r="G13" s="2" t="n">
        <v>2</v>
      </c>
      <c r="H13" s="2" t="n">
        <v>2</v>
      </c>
      <c r="I13" s="3" t="n">
        <v>2</v>
      </c>
      <c r="J13" s="3" t="n">
        <v>2</v>
      </c>
      <c r="K13" s="2" t="inlineStr">
        <is>
          <t>终止马来西亚项目、资源回投国内，直接回流实例</t>
        </is>
      </c>
      <c r="L13" s="2" t="inlineStr">
        <is>
          <t>恩捷股份公告（经东方财富网 / 央广网报道）</t>
        </is>
      </c>
      <c r="M13" s="2" t="inlineStr">
        <is>
          <t>Company Intelligence</t>
        </is>
      </c>
      <c r="N13" s="2" t="inlineStr">
        <is>
          <t>supply_chain</t>
        </is>
      </c>
      <c r="O13" s="2" t="inlineStr">
        <is>
          <t>CASE_001; RETURN_001; RETURN_002; RETURN_003; RETURN_004</t>
        </is>
      </c>
      <c r="P13" s="2" t="inlineStr">
        <is>
          <t>我们想判断企业是否会因为关税规避型海外迁移效果不佳而回流中国。现有案例中有没有订单先转移海外、随后回流并放弃海外建厂的实例？</t>
        </is>
      </c>
      <c r="Q13" s="2" t="inlineStr">
        <is>
          <t>Evidence ID: RETURN_001 Title: 恩捷股份 Yunnan Energy New Material (Semcorp)：重新评估 / 回流中国（提高中国生产比例） Publisher: 恩捷股份公告（经东方财富网 / 央广网报道） Country/Jurisdiction: CN/MY Publication date: 2026-05-22 Status: CURRENT Topic: 供应链布局 Applicability scope: GENERAL Related industries: 电池材料 Claim: 2026</t>
        </is>
      </c>
    </row>
    <row r="14">
      <c r="A14" s="2" t="inlineStr">
        <is>
          <t>Q003</t>
        </is>
      </c>
      <c r="B14" s="2" t="n">
        <v>3</v>
      </c>
      <c r="C14" s="2" t="inlineStr">
        <is>
          <t>RETURN_004</t>
        </is>
      </c>
      <c r="D14" s="2" t="inlineStr">
        <is>
          <t>蜂巢能源 SVOLT（欧洲业务）：重新评估 / 回流中国（维持现有海外布局（收缩新增））</t>
        </is>
      </c>
      <c r="E14" s="2" t="inlineStr">
        <is>
          <t>供应链布局</t>
        </is>
      </c>
      <c r="F14" s="2" t="inlineStr">
        <is>
          <t>B+</t>
        </is>
      </c>
      <c r="G14" s="2" t="n">
        <v>2</v>
      </c>
      <c r="H14" s="2" t="n">
        <v>1</v>
      </c>
      <c r="I14" s="3" t="n">
        <v>2</v>
      </c>
      <c r="J14" s="3" t="n">
        <v>1</v>
      </c>
      <c r="K14" s="2" t="inlineStr">
        <is>
          <t>停建德国工厂、终止欧洲业务，资源集中中国，直接实例</t>
        </is>
      </c>
      <c r="L14" s="2" t="inlineStr">
        <is>
          <t>36氪 / 财新网</t>
        </is>
      </c>
      <c r="M14" s="2" t="inlineStr">
        <is>
          <t>Company Intelligence</t>
        </is>
      </c>
      <c r="N14" s="2" t="inlineStr">
        <is>
          <t>supply_chain</t>
        </is>
      </c>
      <c r="O14" s="2" t="inlineStr">
        <is>
          <t>CASE_001; RETURN_001; RETURN_002; RETURN_003; RETURN_004</t>
        </is>
      </c>
      <c r="P14" s="2" t="inlineStr">
        <is>
          <t>我们想判断企业是否会因为关税规避型海外迁移效果不佳而回流中国。现有案例中有没有订单先转移海外、随后回流并放弃海外建厂的实例？</t>
        </is>
      </c>
      <c r="Q14" s="2" t="inlineStr">
        <is>
          <t>Evidence ID: RETURN_004 Title: 蜂巢能源 SVOLT（欧洲业务）：重新评估 / 回流中国（维持现有海外布局（收缩新增）） Publisher: 36氪 / 财新网 Country/Jurisdiction: CN/DE Publication date: 2024-10-28 Status: CURRENT Topic: 供应链布局 Applicability scope: GENERAL Related industries: 动力电池 Claim: 2024-05 取消勃兰登堡州电芯超级工厂计划，2024-10 宣布停建</t>
        </is>
      </c>
    </row>
    <row r="15">
      <c r="A15" s="2" t="inlineStr">
        <is>
          <t>Q003</t>
        </is>
      </c>
      <c r="B15" s="2" t="n">
        <v>4</v>
      </c>
      <c r="C15" s="2" t="inlineStr">
        <is>
          <t>RETURN_002</t>
        </is>
      </c>
      <c r="D15" s="2" t="inlineStr">
        <is>
          <t>富士康 Foxconn / 苹果 Apple（供应链）：重新评估 / 回流中国（提高中国生产比例）</t>
        </is>
      </c>
      <c r="E15" s="2" t="inlineStr">
        <is>
          <t>供应链布局</t>
        </is>
      </c>
      <c r="F15" s="2" t="inlineStr">
        <is>
          <t>B+</t>
        </is>
      </c>
      <c r="G15" s="2" t="n">
        <v>2</v>
      </c>
      <c r="H15" s="2" t="n">
        <v>1</v>
      </c>
      <c r="I15" s="3" t="n">
        <v>1</v>
      </c>
      <c r="J15" s="3" t="n">
        <v>1</v>
      </c>
      <c r="K15" s="2" t="inlineStr">
        <is>
          <t>富士康撤回印度工程团队、重新评估海外布局，「订单/产能回流中国」未获证实，部分相关 ｜ 人工判定与Auto(2)不同，请复核</t>
        </is>
      </c>
      <c r="L15" s="2" t="inlineStr">
        <is>
          <t>新浪科技 / 中关村在线</t>
        </is>
      </c>
      <c r="M15" s="2" t="inlineStr">
        <is>
          <t>Company Intelligence</t>
        </is>
      </c>
      <c r="N15" s="2" t="inlineStr">
        <is>
          <t>supply_chain</t>
        </is>
      </c>
      <c r="O15" s="2" t="inlineStr">
        <is>
          <t>CASE_001; RETURN_001; RETURN_002; RETURN_003; RETURN_004</t>
        </is>
      </c>
      <c r="P15" s="2" t="inlineStr">
        <is>
          <t>我们想判断企业是否会因为关税规避型海外迁移效果不佳而回流中国。现有案例中有没有订单先转移海外、随后回流并放弃海外建厂的实例？</t>
        </is>
      </c>
      <c r="Q15" s="2" t="inlineStr">
        <is>
          <t>Evidence ID: RETURN_002 Title: 富士康 Foxconn / 苹果 Apple（供应链）：重新评估 / 回流中国（提高中国生产比例） Publisher: 新浪科技 / 中关村在线 Country/Jurisdiction: TW/CN/IN Publication date: 2025-07-03 Status: CURRENT Topic: 供应链布局 Applicability scope: GENERAL Related industries: 电子制造 Claim: 2025 年 7 月及 12 月，富士康两度要求/</t>
        </is>
      </c>
    </row>
    <row r="16">
      <c r="A16" s="2" t="inlineStr">
        <is>
          <t>Q003</t>
        </is>
      </c>
      <c r="B16" s="2" t="n">
        <v>5</v>
      </c>
      <c r="C16" s="2" t="inlineStr">
        <is>
          <t>RETURN_003</t>
        </is>
      </c>
      <c r="D16" s="2" t="inlineStr">
        <is>
          <t>制造业外迁企业（行业层面）：重新评估 / 回流中国（提高中国生产比例）</t>
        </is>
      </c>
      <c r="E16" s="2" t="inlineStr">
        <is>
          <t>供应链布局</t>
        </is>
      </c>
      <c r="F16" s="2" t="inlineStr">
        <is>
          <t>B+</t>
        </is>
      </c>
      <c r="G16" s="2" t="n">
        <v>2</v>
      </c>
      <c r="H16" s="2" t="n">
        <v>1</v>
      </c>
      <c r="I16" s="3" t="n">
        <v>2</v>
      </c>
      <c r="J16" s="3" t="n">
        <v>1</v>
      </c>
      <c r="K16" s="2" t="inlineStr">
        <is>
          <t>行业层面订单与产能回流中国，直接实例</t>
        </is>
      </c>
      <c r="L16" s="2" t="inlineStr">
        <is>
          <t>路透社（经环球网 / 新浪转载）</t>
        </is>
      </c>
      <c r="M16" s="2" t="inlineStr">
        <is>
          <t>Company Intelligence</t>
        </is>
      </c>
      <c r="N16" s="2" t="inlineStr">
        <is>
          <t>supply_chain</t>
        </is>
      </c>
      <c r="O16" s="2" t="inlineStr">
        <is>
          <t>CASE_001; RETURN_001; RETURN_002; RETURN_003; RETURN_004</t>
        </is>
      </c>
      <c r="P16" s="2" t="inlineStr">
        <is>
          <t>我们想判断企业是否会因为关税规避型海外迁移效果不佳而回流中国。现有案例中有没有订单先转移海外、随后回流并放弃海外建厂的实例？</t>
        </is>
      </c>
      <c r="Q16" s="2" t="inlineStr">
        <is>
          <t>Evidence ID: RETURN_003 Title: 制造业外迁企业（行业层面）：重新评估 / 回流中国（提高中国生产比例） Publisher: 路透社（经环球网 / 新浪转载） Country/Jurisdiction: CN/VN/TH/IN Publication date: 2026-09-14 Status: CURRENT Topic: 供应链布局 Applicability scope: GENERAL Related industries: 通用制造 Claim: 部分跨国企业将订单与产能重新回流中国，同时保留东南亚既有布局，形</t>
        </is>
      </c>
    </row>
    <row r="17">
      <c r="A17" s="2" t="inlineStr">
        <is>
          <t>Q004</t>
        </is>
      </c>
      <c r="B17" s="2" t="n">
        <v>1</v>
      </c>
      <c r="C17" s="2" t="inlineStr">
        <is>
          <t>RELOC_005</t>
        </is>
      </c>
      <c r="D17" s="2" t="inlineStr">
        <is>
          <t>欣旺达 Sunwoda：中国 → 东南亚转移（多地区混合布局）</t>
        </is>
      </c>
      <c r="E17" s="2" t="inlineStr">
        <is>
          <t>供应链布局</t>
        </is>
      </c>
      <c r="F17" s="2" t="inlineStr">
        <is>
          <t>B+</t>
        </is>
      </c>
      <c r="G17" s="2" t="n">
        <v>2</v>
      </c>
      <c r="H17" s="2" t="n">
        <v>1</v>
      </c>
      <c r="I17" s="3" t="n">
        <v>2</v>
      </c>
      <c r="J17" s="3" t="n">
        <v>1</v>
      </c>
      <c r="K17" s="2" t="inlineStr">
        <is>
          <t>越南扩产以规避关税，服务海外客户的布局案例</t>
        </is>
      </c>
      <c r="L17" s="2" t="inlineStr">
        <is>
          <t>东方财富网 / 腾讯新闻</t>
        </is>
      </c>
      <c r="M17" s="2" t="inlineStr">
        <is>
          <t>Company Intelligence</t>
        </is>
      </c>
      <c r="N17" s="2" t="inlineStr">
        <is>
          <t>supply_chain</t>
        </is>
      </c>
      <c r="O17" s="2" t="inlineStr">
        <is>
          <t>CASE_004; CASE_005; CASE_006; CASE_007; CASE_008; RELOC_003; RELOC_004; RELOC_005; RELOC_006</t>
        </is>
      </c>
      <c r="P17" s="2" t="inlineStr">
        <is>
          <t>对于计划在东南亚扩产、服务欧美客户的制造企业，现有企业案例如何说明海外工厂布局与客户合作/地缘风险之间的关系？</t>
        </is>
      </c>
      <c r="Q17" s="2" t="inlineStr">
        <is>
          <t>Evidence ID: RELOC_005 Title: 欣旺达 Sunwoda：中国 → 东南亚转移（多地区混合布局） Publisher: 东方财富网 / 腾讯新闻 Country/Jurisdiction: CN/VN Publication date: 2024-07-16 Status: CURRENT Topic: 供应链布局 Applicability scope: GENERAL Related industries: 动力电池/消费电池 Claim: 2024-07-15 公告拟通过下属子公司香港欣威设立越南锂威有限公司，投建越南锂威</t>
        </is>
      </c>
    </row>
    <row r="18">
      <c r="A18" s="2" t="inlineStr">
        <is>
          <t>Q004</t>
        </is>
      </c>
      <c r="B18" s="2" t="n">
        <v>2</v>
      </c>
      <c r="C18" s="2" t="inlineStr">
        <is>
          <t>RELOC_004</t>
        </is>
      </c>
      <c r="D18" s="2" t="inlineStr">
        <is>
          <t>亿纬锂能 EVE Energy：中国 → 东南亚转移（多地区混合布局）</t>
        </is>
      </c>
      <c r="E18" s="2" t="inlineStr">
        <is>
          <t>供应链布局</t>
        </is>
      </c>
      <c r="F18" s="2" t="inlineStr">
        <is>
          <t>B+</t>
        </is>
      </c>
      <c r="G18" s="2" t="n">
        <v>2</v>
      </c>
      <c r="H18" s="2" t="n">
        <v>1</v>
      </c>
      <c r="I18" s="3" t="n">
        <v>2</v>
      </c>
      <c r="J18" s="3" t="n">
        <v>1</v>
      </c>
      <c r="K18" s="2" t="inlineStr">
        <is>
          <t>马来西亚制造—欧美市场的结构，直接说明布局与客户关系</t>
        </is>
      </c>
      <c r="L18" s="2" t="inlineStr">
        <is>
          <t>新浪财经</t>
        </is>
      </c>
      <c r="M18" s="2" t="inlineStr">
        <is>
          <t>Company Intelligence</t>
        </is>
      </c>
      <c r="N18" s="2" t="inlineStr">
        <is>
          <t>supply_chain</t>
        </is>
      </c>
      <c r="O18" s="2" t="inlineStr">
        <is>
          <t>CASE_004; CASE_005; CASE_006; CASE_007; CASE_008; RELOC_003; RELOC_004; RELOC_005; RELOC_006</t>
        </is>
      </c>
      <c r="P18" s="2" t="inlineStr">
        <is>
          <t>对于计划在东南亚扩产、服务欧美客户的制造企业，现有企业案例如何说明海外工厂布局与客户合作/地缘风险之间的关系？</t>
        </is>
      </c>
      <c r="Q18" s="2" t="inlineStr">
        <is>
          <t>## 二、决策触发（Decision Trigger） 触发类型：tariff_pressure（关税压力） 触发细节：对美出口关税与'去中国化'供应链要求，迫使企业在东南亚布局产能以规避税率。 ## 三、实际决策（Actual Decision） 决策分类：多地区混合布局 决策内容：在马来西亚吉打州居林县建设海外工厂，二期于 2026 年 2 月投产运营，建筑面积约 60 万平方米，系公司首个海外大型锂电厂房项目，形成年产约 6.8 亿只圆柱电池产能；同时推进匈牙利、美国、印尼项目，中国产能保留。 ## 四、相关风险（Related Risk） 风险类</t>
        </is>
      </c>
    </row>
    <row r="19">
      <c r="A19" s="2" t="inlineStr">
        <is>
          <t>Q004</t>
        </is>
      </c>
      <c r="B19" s="2" t="n">
        <v>3</v>
      </c>
      <c r="C19" s="2" t="inlineStr">
        <is>
          <t>RELOC_003</t>
        </is>
      </c>
      <c r="D19" s="2" t="inlineStr">
        <is>
          <t>国轩高科 Gotion High-Tech：中国 → 东南亚转移（多地区混合布局）</t>
        </is>
      </c>
      <c r="E19" s="2" t="inlineStr">
        <is>
          <t>供应链布局</t>
        </is>
      </c>
      <c r="F19" s="2" t="inlineStr">
        <is>
          <t>B+</t>
        </is>
      </c>
      <c r="G19" s="2" t="n">
        <v>2</v>
      </c>
      <c r="H19" s="2" t="n">
        <v>1</v>
      </c>
      <c r="I19" s="3" t="n">
        <v>2</v>
      </c>
      <c r="J19" s="3" t="n">
        <v>1</v>
      </c>
      <c r="K19" s="2" t="inlineStr">
        <is>
          <t>越南电池基地服务海外客户，布局案例</t>
        </is>
      </c>
      <c r="L19" s="2" t="inlineStr">
        <is>
          <t>澎湃新闻 / 盖世汽车社区</t>
        </is>
      </c>
      <c r="M19" s="2" t="inlineStr">
        <is>
          <t>Company Intelligence</t>
        </is>
      </c>
      <c r="N19" s="2" t="inlineStr">
        <is>
          <t>supply_chain</t>
        </is>
      </c>
      <c r="O19" s="2" t="inlineStr">
        <is>
          <t>CASE_004; CASE_005; CASE_006; CASE_007; CASE_008; RELOC_003; RELOC_004; RELOC_005; RELOC_006</t>
        </is>
      </c>
      <c r="P19" s="2" t="inlineStr">
        <is>
          <t>对于计划在东南亚扩产、服务欧美客户的制造企业，现有企业案例如何说明海外工厂布局与客户合作/地缘风险之间的关系？</t>
        </is>
      </c>
      <c r="Q19" s="2" t="inlineStr">
        <is>
          <t>Evidence ID: RELOC_003 Title: 国轩高科 Gotion High-Tech：中国 → 东南亚转移（多地区混合布局） Publisher: 澎湃新闻 / 盖世汽车社区 Country/Jurisdiction: CN/VN Publication date: 2022-11-19 Status: CURRENT Topic: 供应链布局 Applicability scope: GENERAL Related industries: 动力电池 Claim: 与 Vingroup 旗下 VinES 合资（国轩 51% / VinE</t>
        </is>
      </c>
    </row>
    <row r="20">
      <c r="A20" s="2" t="inlineStr">
        <is>
          <t>Q004</t>
        </is>
      </c>
      <c r="B20" s="2" t="n">
        <v>4</v>
      </c>
      <c r="C20" s="2" t="inlineStr">
        <is>
          <t>RELOC_006</t>
        </is>
      </c>
      <c r="D20" s="2" t="inlineStr">
        <is>
          <t>蜂巢能源 SVOLT：中国 → 东南亚转移（多地区混合布局）</t>
        </is>
      </c>
      <c r="E20" s="2" t="inlineStr">
        <is>
          <t>供应链布局</t>
        </is>
      </c>
      <c r="F20" s="2" t="inlineStr">
        <is>
          <t>B+</t>
        </is>
      </c>
      <c r="G20" s="2" t="n">
        <v>2</v>
      </c>
      <c r="H20" s="2" t="n">
        <v>1</v>
      </c>
      <c r="I20" s="3" t="n">
        <v>2</v>
      </c>
      <c r="J20" s="3" t="n">
        <v>1</v>
      </c>
      <c r="K20" s="2" t="inlineStr">
        <is>
          <t>泰国电池厂配套中国车企在泰车型，布局与客户关系直接</t>
        </is>
      </c>
      <c r="L20" s="2" t="inlineStr">
        <is>
          <t>澎湃新闻</t>
        </is>
      </c>
      <c r="M20" s="2" t="inlineStr">
        <is>
          <t>Company Intelligence</t>
        </is>
      </c>
      <c r="N20" s="2" t="inlineStr">
        <is>
          <t>supply_chain</t>
        </is>
      </c>
      <c r="O20" s="2" t="inlineStr">
        <is>
          <t>CASE_004; CASE_005; CASE_006; CASE_007; CASE_008; RELOC_003; RELOC_004; RELOC_005; RELOC_006</t>
        </is>
      </c>
      <c r="P20" s="2" t="inlineStr">
        <is>
          <t>对于计划在东南亚扩产、服务欧美客户的制造企业，现有企业案例如何说明海外工厂布局与客户合作/地缘风险之间的关系？</t>
        </is>
      </c>
      <c r="Q20" s="2" t="inlineStr">
        <is>
          <t>Evidence ID: RELOC_006 Title: 蜂巢能源 SVOLT：中国 → 东南亚转移（多地区混合布局） Publisher: 澎湃新闻 Country/Jurisdiction: CN/TH Publication date: 2024-02-28 Status: CURRENT Topic: 供应链布局 Applicability scope: GENERAL Related industries: 动力电池 Claim: 在泰国春武里府是拉差市建设电池工厂（模组 PACK + 电芯），2024-02-28 正式投产并批量交付，配套长</t>
        </is>
      </c>
    </row>
    <row r="21">
      <c r="A21" s="2" t="inlineStr">
        <is>
          <t>Q004</t>
        </is>
      </c>
      <c r="B21" s="2" t="n">
        <v>5</v>
      </c>
      <c r="C21" s="2" t="inlineStr">
        <is>
          <t>RETURN_001</t>
        </is>
      </c>
      <c r="D21" s="2" t="inlineStr">
        <is>
          <t>恩捷股份 Yunnan Energy New Material (Semcorp)：重新评估 / 回流中国（提高中国生产比例）</t>
        </is>
      </c>
      <c r="E21" s="2" t="inlineStr">
        <is>
          <t>供应链布局</t>
        </is>
      </c>
      <c r="F21" s="2" t="inlineStr">
        <is>
          <t>S</t>
        </is>
      </c>
      <c r="G21" s="2" t="n">
        <v>1</v>
      </c>
      <c r="H21" s="2" t="n">
        <v>2</v>
      </c>
      <c r="I21" s="3" t="n">
        <v>1</v>
      </c>
      <c r="J21" s="3" t="n">
        <v>2</v>
      </c>
      <c r="K21" s="2" t="inlineStr">
        <is>
          <t>回流案例，说明海外布局风险，但非“东南亚扩产服务欧美客户”的直接说明</t>
        </is>
      </c>
      <c r="L21" s="2" t="inlineStr">
        <is>
          <t>恩捷股份公告（经东方财富网 / 央广网报道）</t>
        </is>
      </c>
      <c r="M21" s="2" t="inlineStr">
        <is>
          <t>Company Intelligence</t>
        </is>
      </c>
      <c r="N21" s="2" t="inlineStr">
        <is>
          <t>supply_chain</t>
        </is>
      </c>
      <c r="O21" s="2" t="inlineStr">
        <is>
          <t>CASE_004; CASE_005; CASE_006; CASE_007; CASE_008; RELOC_003; RELOC_004; RELOC_005; RELOC_006</t>
        </is>
      </c>
      <c r="P21" s="2" t="inlineStr">
        <is>
          <t>对于计划在东南亚扩产、服务欧美客户的制造企业，现有企业案例如何说明海外工厂布局与客户合作/地缘风险之间的关系？</t>
        </is>
      </c>
      <c r="Q21" s="2" t="inlineStr">
        <is>
          <t>## 一、决策前状态（Initial Situation） 生产布局：湿法锂电隔膜产能以中国为主（上海、珠海、无锡等），为全球隔膜龙头。 主要市场：中国 + 海外电池客户（含欧美）。 供应链结构：基膜与涂覆材料主要在中国生产，产品出口海外。 面临的问题：2024 年规划马来西亚隔膜项目（约 10 亿平方米/年、投资约 20 亿元）以求贴近海外客户并规避关税。 ## 二、决策触发（Decision Trigger） 触发类型：cost_change（成本变化） 触发细节：外部市场环境及行业竞争格局发生变化（隔膜价格下行、行业产能过剩、海外建厂成本高于预期）</t>
        </is>
      </c>
    </row>
    <row r="22">
      <c r="A22" s="2" t="inlineStr">
        <is>
          <t>Q005</t>
        </is>
      </c>
      <c r="B22" s="2" t="n">
        <v>1</v>
      </c>
      <c r="C22" s="2" t="inlineStr">
        <is>
          <t>CASE_003</t>
        </is>
      </c>
      <c r="D22" s="2" t="inlineStr">
        <is>
          <t>同一反规避调查中被认定“未规避”的企业（Hanwha、Jinko马来西亚、Boviet越南）</t>
        </is>
      </c>
      <c r="E22" s="2" t="inlineStr">
        <is>
          <t>反规避</t>
        </is>
      </c>
      <c r="F22" s="2" t="inlineStr">
        <is>
          <t>S</t>
        </is>
      </c>
      <c r="G22" s="2" t="n">
        <v>2</v>
      </c>
      <c r="H22" s="2" t="n">
        <v>2</v>
      </c>
      <c r="I22" s="3" t="n">
        <v>2</v>
      </c>
      <c r="J22" s="3" t="n">
        <v>2</v>
      </c>
      <c r="K22" s="2" t="inlineStr">
        <is>
          <t>“未规避”认定案例，直接对照</t>
        </is>
      </c>
      <c r="L22" s="2" t="inlineStr">
        <is>
          <t>美国商务部（经律所解读）</t>
        </is>
      </c>
      <c r="M22" s="2" t="inlineStr">
        <is>
          <t>Company Intelligence</t>
        </is>
      </c>
      <c r="N22" s="2" t="inlineStr">
        <is>
          <t>trade_policy</t>
        </is>
      </c>
      <c r="O22" s="2" t="inlineStr">
        <is>
          <t>CASE_002; CASE_003; CASE_010; DOC_001</t>
        </is>
      </c>
      <c r="P22" s="2" t="inlineStr">
        <is>
          <t>同样在东南亚生产，为什么有的企业可能被认定为规避、有的却没有？请用现有对照案例说明供应链结构和工序布局对结果的影响。</t>
        </is>
      </c>
      <c r="Q22" s="2"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row>
    <row r="23">
      <c r="A23" s="2" t="inlineStr">
        <is>
          <t>Q005</t>
        </is>
      </c>
      <c r="B23" s="2" t="n">
        <v>2</v>
      </c>
      <c r="C23" s="2" t="inlineStr">
        <is>
          <t>CASE_002</t>
        </is>
      </c>
      <c r="D23" s="2" t="inlineStr">
        <is>
          <t>美国对东南亚四国光伏产品反规避认定：视为中国原产并适用对华双反</t>
        </is>
      </c>
      <c r="E23" s="2" t="inlineStr">
        <is>
          <t>反规避</t>
        </is>
      </c>
      <c r="F23" s="2" t="inlineStr">
        <is>
          <t>S</t>
        </is>
      </c>
      <c r="G23" s="2" t="n">
        <v>2</v>
      </c>
      <c r="H23" s="2" t="n">
        <v>2</v>
      </c>
      <c r="I23" s="3" t="n">
        <v>2</v>
      </c>
      <c r="J23" s="3" t="n">
        <v>2</v>
      </c>
      <c r="K23" s="2" t="inlineStr">
        <is>
          <t>“认定规避”案例，直接对照</t>
        </is>
      </c>
      <c r="L23" s="2" t="inlineStr">
        <is>
          <t>美国商务部（经律所解读）</t>
        </is>
      </c>
      <c r="M23" s="2" t="inlineStr">
        <is>
          <t>Company Intelligence</t>
        </is>
      </c>
      <c r="N23" s="2" t="inlineStr">
        <is>
          <t>trade_policy</t>
        </is>
      </c>
      <c r="O23" s="2" t="inlineStr">
        <is>
          <t>CASE_002; CASE_003; CASE_010; DOC_001</t>
        </is>
      </c>
      <c r="P23" s="2" t="inlineStr">
        <is>
          <t>同样在东南亚生产，为什么有的企业可能被认定为规避、有的却没有？请用现有对照案例说明供应链结构和工序布局对结果的影响。</t>
        </is>
      </c>
      <c r="Q23"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24">
      <c r="A24" s="2" t="inlineStr">
        <is>
          <t>Q005</t>
        </is>
      </c>
      <c r="B24" s="2" t="n">
        <v>3</v>
      </c>
      <c r="C24" s="2" t="inlineStr">
        <is>
          <t>DOC_001</t>
        </is>
      </c>
      <c r="D24" s="2" t="inlineStr">
        <is>
          <t>Final Circumvention Determinations: Crystalline Silicon Photovoltaic Cells from Cambodia, Malaysia, Thailand and Vietnam（东南亚四国光伏反规避终裁）</t>
        </is>
      </c>
      <c r="E24" s="2" t="inlineStr">
        <is>
          <t>反规避</t>
        </is>
      </c>
      <c r="F24" s="2" t="inlineStr">
        <is>
          <t>S</t>
        </is>
      </c>
      <c r="G24" s="2" t="n">
        <v>2</v>
      </c>
      <c r="H24" s="2" t="n">
        <v>2</v>
      </c>
      <c r="I24" s="3" t="n">
        <v>2</v>
      </c>
      <c r="J24" s="3" t="n">
        <v>2</v>
      </c>
      <c r="K24" s="2" t="inlineStr">
        <is>
          <t>官方终裁原文，对照判定的依据</t>
        </is>
      </c>
      <c r="L24" s="2" t="inlineStr">
        <is>
          <t>美国商务部</t>
        </is>
      </c>
      <c r="M24" s="2" t="inlineStr">
        <is>
          <t>Company Intelligence</t>
        </is>
      </c>
      <c r="N24" s="2" t="inlineStr">
        <is>
          <t>trade_policy</t>
        </is>
      </c>
      <c r="O24" s="2" t="inlineStr">
        <is>
          <t>CASE_002; CASE_003; CASE_010; DOC_001</t>
        </is>
      </c>
      <c r="P24" s="2" t="inlineStr">
        <is>
          <t>同样在东南亚生产，为什么有的企业可能被认定为规避、有的却没有？请用现有对照案例说明供应链结构和工序布局对结果的影响。</t>
        </is>
      </c>
      <c r="Q24" s="2" t="inlineStr">
        <is>
          <t>Evidence ID: DOC_001 Title: Final Circumvention Determinations: Crystalline Silicon Photovoltaic Cells from Cambodia, Malaysia, Thailand and Vietnam（东南亚四国光伏反规避终裁） Publisher: 美国商务部 Country/Jurisdiction: US / Federal Publication date: 2023-08-23 Status: CURRENT Topic: 反规避 Applicabi</t>
        </is>
      </c>
    </row>
    <row r="25">
      <c r="A25" s="2" t="inlineStr">
        <is>
          <t>Q005</t>
        </is>
      </c>
      <c r="B25" s="2" t="n">
        <v>4</v>
      </c>
      <c r="C25" s="2" t="inlineStr">
        <is>
          <t>RELOC_005</t>
        </is>
      </c>
      <c r="D25" s="2" t="inlineStr">
        <is>
          <t>欣旺达 Sunwoda：中国 → 东南亚转移（多地区混合布局）</t>
        </is>
      </c>
      <c r="E25" s="2" t="inlineStr">
        <is>
          <t>供应链布局</t>
        </is>
      </c>
      <c r="F25" s="2" t="inlineStr">
        <is>
          <t>B+</t>
        </is>
      </c>
      <c r="G25" s="2" t="n">
        <v>1</v>
      </c>
      <c r="H25" s="2" t="n">
        <v>1</v>
      </c>
      <c r="I25" s="3" t="n">
        <v>0</v>
      </c>
      <c r="J25" s="3" t="n">
        <v>1</v>
      </c>
      <c r="K25" s="2" t="inlineStr">
        <is>
          <t>越南消费电池建厂案例，与规避认定无关 ｜ 人工判定与Auto(1)不同，请复核</t>
        </is>
      </c>
      <c r="L25" s="2" t="inlineStr">
        <is>
          <t>东方财富网 / 腾讯新闻</t>
        </is>
      </c>
      <c r="M25" s="2" t="inlineStr">
        <is>
          <t>Company Intelligence</t>
        </is>
      </c>
      <c r="N25" s="2" t="inlineStr">
        <is>
          <t>trade_policy</t>
        </is>
      </c>
      <c r="O25" s="2" t="inlineStr">
        <is>
          <t>CASE_002; CASE_003; CASE_010; DOC_001</t>
        </is>
      </c>
      <c r="P25" s="2" t="inlineStr">
        <is>
          <t>同样在东南亚生产，为什么有的企业可能被认定为规避、有的却没有？请用现有对照案例说明供应链结构和工序布局对结果的影响。</t>
        </is>
      </c>
      <c r="Q25" s="2" t="inlineStr">
        <is>
          <t>Evidence ID: RELOC_005 Title: 欣旺达 Sunwoda：中国 → 东南亚转移（多地区混合布局） Publisher: 东方财富网 / 腾讯新闻 Country/Jurisdiction: CN/VN Publication date: 2024-07-16 Status: CURRENT Topic: 供应链布局 Applicability scope: GENERAL Related industries: 动力电池/消费电池 Claim: 2024-07-15 公告拟通过下属子公司香港欣威设立越南锂威有限公司，投建越南锂威</t>
        </is>
      </c>
    </row>
    <row r="26">
      <c r="A26" s="2" t="inlineStr">
        <is>
          <t>Q005</t>
        </is>
      </c>
      <c r="B26" s="2" t="n">
        <v>5</v>
      </c>
      <c r="C26" s="2" t="inlineStr">
        <is>
          <t>RETURN_001</t>
        </is>
      </c>
      <c r="D26" s="2" t="inlineStr">
        <is>
          <t>恩捷股份 Yunnan Energy New Material (Semcorp)：重新评估 / 回流中国（提高中国生产比例）</t>
        </is>
      </c>
      <c r="E26" s="2" t="inlineStr">
        <is>
          <t>供应链布局</t>
        </is>
      </c>
      <c r="F26" s="2" t="inlineStr">
        <is>
          <t>S</t>
        </is>
      </c>
      <c r="G26" s="2" t="n">
        <v>1</v>
      </c>
      <c r="H26" s="2" t="n">
        <v>2</v>
      </c>
      <c r="I26" s="3" t="n">
        <v>0</v>
      </c>
      <c r="J26" s="3" t="n">
        <v>2</v>
      </c>
      <c r="K26" s="2" t="inlineStr">
        <is>
          <t>终止海外项目案例，与规避认定无关 ｜ 人工判定与Auto(1)不同，请复核</t>
        </is>
      </c>
      <c r="L26" s="2" t="inlineStr">
        <is>
          <t>恩捷股份公告（经东方财富网 / 央广网报道）</t>
        </is>
      </c>
      <c r="M26" s="2" t="inlineStr">
        <is>
          <t>Company Intelligence</t>
        </is>
      </c>
      <c r="N26" s="2" t="inlineStr">
        <is>
          <t>trade_policy</t>
        </is>
      </c>
      <c r="O26" s="2" t="inlineStr">
        <is>
          <t>CASE_002; CASE_003; CASE_010; DOC_001</t>
        </is>
      </c>
      <c r="P26" s="2" t="inlineStr">
        <is>
          <t>同样在东南亚生产，为什么有的企业可能被认定为规避、有的却没有？请用现有对照案例说明供应链结构和工序布局对结果的影响。</t>
        </is>
      </c>
      <c r="Q26" s="2" t="inlineStr">
        <is>
          <t>## 一、决策前状态（Initial Situation） 生产布局：湿法锂电隔膜产能以中国为主（上海、珠海、无锡等），为全球隔膜龙头。 主要市场：中国 + 海外电池客户（含欧美）。 供应链结构：基膜与涂覆材料主要在中国生产，产品出口海外。 面临的问题：2024 年规划马来西亚隔膜项目（约 10 亿平方米/年、投资约 20 亿元）以求贴近海外客户并规避关税。 ## 二、决策触发（Decision Trigger） 触发类型：cost_change（成本变化） 触发细节：外部市场环境及行业竞争格局发生变化（隔膜价格下行、行业产能过剩、海外建厂成本高于预期）</t>
        </is>
      </c>
    </row>
    <row r="27">
      <c r="A27" s="2" t="inlineStr">
        <is>
          <t>Q006</t>
        </is>
      </c>
      <c r="B27" s="2" t="n">
        <v>1</v>
      </c>
      <c r="C27" s="2" t="inlineStr">
        <is>
          <t>BIS_001</t>
        </is>
      </c>
      <c r="D27" s="2" t="inlineStr">
        <is>
          <t>Expansion of End-User Controls to Cover Affiliates of Certain Listed Entities（关联企业规则 / 50%穿透规则，临时最终规则）</t>
        </is>
      </c>
      <c r="E27" s="2" t="inlineStr">
        <is>
          <t>出口管制</t>
        </is>
      </c>
      <c r="F27" s="2" t="inlineStr">
        <is>
          <t>S</t>
        </is>
      </c>
      <c r="G27" s="2" t="n">
        <v>2</v>
      </c>
      <c r="H27" s="2" t="n">
        <v>2</v>
      </c>
      <c r="I27" s="3" t="n">
        <v>2</v>
      </c>
      <c r="J27" s="3" t="n">
        <v>2</v>
      </c>
      <c r="K27" s="2" t="inlineStr">
        <is>
          <t>50%穿透规则原文，直接回答美方规则</t>
        </is>
      </c>
      <c r="L27" s="2" t="inlineStr">
        <is>
          <t>美国商务部工业与安全局（BIS）</t>
        </is>
      </c>
      <c r="M27" s="2" t="inlineStr">
        <is>
          <t>Policy / Trade Risk</t>
        </is>
      </c>
      <c r="N27" s="2" t="inlineStr">
        <is>
          <t>export_control</t>
        </is>
      </c>
      <c r="O27" s="2" t="inlineStr">
        <is>
          <t>BIS_001; BIS_002; MOFCOM_001; MOFCOM_002</t>
        </is>
      </c>
      <c r="P27" s="2" t="inlineStr">
        <is>
          <t>一家中国电池材料企业向美国客户出口含石墨、镓或锗相关物项时，2026年应重点核查哪些中国出口管制目录和暂停措施，以及美方关联企业（50%穿透）规则？</t>
        </is>
      </c>
      <c r="Q27" s="2" t="inlineStr">
        <is>
          <t>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t>
        </is>
      </c>
    </row>
    <row r="28">
      <c r="A28" s="2" t="inlineStr">
        <is>
          <t>Q006</t>
        </is>
      </c>
      <c r="B28" s="2" t="n">
        <v>2</v>
      </c>
      <c r="C28" s="2" t="inlineStr">
        <is>
          <t>BIS_002</t>
        </is>
      </c>
      <c r="D28" s="2" t="inlineStr">
        <is>
          <t>One Year Suspension of Expansion of End-User Controls for Affiliates of Certain Listed Entities（关联企业规则暂停一年）</t>
        </is>
      </c>
      <c r="E28" s="2" t="inlineStr">
        <is>
          <t>出口管制</t>
        </is>
      </c>
      <c r="F28" s="2" t="inlineStr">
        <is>
          <t>S</t>
        </is>
      </c>
      <c r="G28" s="2" t="n">
        <v>2</v>
      </c>
      <c r="H28" s="2" t="n">
        <v>2</v>
      </c>
      <c r="I28" s="3" t="n">
        <v>2</v>
      </c>
      <c r="J28" s="3" t="n">
        <v>2</v>
      </c>
      <c r="K28" s="2" t="inlineStr">
        <is>
          <t>暂停令，直接回答暂停措施</t>
        </is>
      </c>
      <c r="L28" s="2" t="inlineStr">
        <is>
          <t>美国商务部工业与安全局（BIS）</t>
        </is>
      </c>
      <c r="M28" s="2" t="inlineStr">
        <is>
          <t>Policy / Trade Risk</t>
        </is>
      </c>
      <c r="N28" s="2" t="inlineStr">
        <is>
          <t>export_control</t>
        </is>
      </c>
      <c r="O28" s="2" t="inlineStr">
        <is>
          <t>BIS_001; BIS_002; MOFCOM_001; MOFCOM_002</t>
        </is>
      </c>
      <c r="P28" s="2" t="inlineStr">
        <is>
          <t>一家中国电池材料企业向美国客户出口含石墨、镓或锗相关物项时，2026年应重点核查哪些中国出口管制目录和暂停措施，以及美方关联企业（50%穿透）规则？</t>
        </is>
      </c>
      <c r="Q28" s="2"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row>
    <row r="29">
      <c r="A29" s="2" t="inlineStr">
        <is>
          <t>Q006</t>
        </is>
      </c>
      <c r="B29" s="2" t="n">
        <v>3</v>
      </c>
      <c r="C29" s="2" t="inlineStr">
        <is>
          <t>MOFCOM_001</t>
        </is>
      </c>
      <c r="D29" s="2" t="inlineStr">
        <is>
          <t>2026年度《两用物项和技术进出口许可证管理目录》</t>
        </is>
      </c>
      <c r="E29" s="2" t="inlineStr">
        <is>
          <t>出口管制</t>
        </is>
      </c>
      <c r="F29" s="2" t="inlineStr">
        <is>
          <t>S</t>
        </is>
      </c>
      <c r="G29" s="2" t="n">
        <v>2</v>
      </c>
      <c r="H29" s="2" t="n">
        <v>2</v>
      </c>
      <c r="I29" s="3" t="n">
        <v>2</v>
      </c>
      <c r="J29" s="3" t="n">
        <v>2</v>
      </c>
      <c r="K29" s="2" t="inlineStr">
        <is>
          <t>中国两用物项目录，直接回答核查范围</t>
        </is>
      </c>
      <c r="L29" s="2" t="inlineStr">
        <is>
          <t>商务部、海关总署</t>
        </is>
      </c>
      <c r="M29" s="2" t="inlineStr">
        <is>
          <t>Policy / Trade Risk</t>
        </is>
      </c>
      <c r="N29" s="2" t="inlineStr">
        <is>
          <t>export_control</t>
        </is>
      </c>
      <c r="O29" s="2" t="inlineStr">
        <is>
          <t>BIS_001; BIS_002; MOFCOM_001; MOFCOM_002</t>
        </is>
      </c>
      <c r="P29" s="2" t="inlineStr">
        <is>
          <t>一家中国电池材料企业向美国客户出口含石墨、镓或锗相关物项时，2026年应重点核查哪些中国出口管制目录和暂停措施，以及美方关联企业（50%穿透）规则？</t>
        </is>
      </c>
      <c r="Q29" s="2" t="inlineStr">
        <is>
          <t>Evidence ID: MOFCOM_001 Title: 2026年度《两用物项和技术进出口许可证管理目录》 Publisher: 商务部、海关总署 Country/Jurisdiction: CN / National Publication date: 2025-12-31 Status: CURRENT Topic: 出口管制 Applicability scope: GENERAL Related industries: ◆随产业 Key finding: 2026-01-01起实施，同时废止2024年第67号公告。用于判断产品是否属于中国侧</t>
        </is>
      </c>
    </row>
    <row r="30">
      <c r="A30" s="2" t="inlineStr">
        <is>
          <t>Q006</t>
        </is>
      </c>
      <c r="B30" s="2" t="n">
        <v>4</v>
      </c>
      <c r="C30" s="2" t="inlineStr">
        <is>
          <t>CASE_009</t>
        </is>
      </c>
      <c r="D30" s="2" t="inlineStr">
        <is>
          <t>BIS 50%穿透规则：发布→暂停→2026-11-10恢复的完整时间线</t>
        </is>
      </c>
      <c r="E30" s="2" t="inlineStr">
        <is>
          <t>出口管制</t>
        </is>
      </c>
      <c r="F30" s="2" t="inlineStr">
        <is>
          <t>S</t>
        </is>
      </c>
      <c r="G30" s="2" t="n">
        <v>1</v>
      </c>
      <c r="H30" s="2" t="n">
        <v>2</v>
      </c>
      <c r="I30" s="3" t="n">
        <v>1</v>
      </c>
      <c r="J30" s="3" t="n">
        <v>2</v>
      </c>
      <c r="K30" s="2" t="inlineStr">
        <is>
          <t>BIS规则时间线合成案例，内容重复BIS_001/002</t>
        </is>
      </c>
      <c r="L30" s="2" t="inlineStr">
        <is>
          <t>美国商务部工业与安全局（BIS）</t>
        </is>
      </c>
      <c r="M30" s="2" t="inlineStr">
        <is>
          <t>Policy / Trade Risk</t>
        </is>
      </c>
      <c r="N30" s="2" t="inlineStr">
        <is>
          <t>export_control</t>
        </is>
      </c>
      <c r="O30" s="2" t="inlineStr">
        <is>
          <t>BIS_001; BIS_002; MOFCOM_001; MOFCOM_002</t>
        </is>
      </c>
      <c r="P30" s="2" t="inlineStr">
        <is>
          <t>一家中国电池材料企业向美国客户出口含石墨、镓或锗相关物项时，2026年应重点核查哪些中国出口管制目录和暂停措施，以及美方关联企业（50%穿透）规则？</t>
        </is>
      </c>
      <c r="Q30" s="2"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row>
    <row r="31">
      <c r="A31" s="2" t="inlineStr">
        <is>
          <t>Q006</t>
        </is>
      </c>
      <c r="B31" s="2" t="n">
        <v>5</v>
      </c>
      <c r="C31" s="2" t="inlineStr">
        <is>
          <t>MOFCOM_002</t>
        </is>
      </c>
      <c r="D31" s="2" t="inlineStr">
        <is>
          <t>商务部公告2025年第72号（暂停实施2024年第46号公告第二款，涉及对美两用物项出口管制）</t>
        </is>
      </c>
      <c r="E31" s="2" t="inlineStr">
        <is>
          <t>出口管制</t>
        </is>
      </c>
      <c r="F31" s="2" t="inlineStr">
        <is>
          <t>S</t>
        </is>
      </c>
      <c r="G31" s="2" t="n">
        <v>2</v>
      </c>
      <c r="H31" s="2" t="n">
        <v>2</v>
      </c>
      <c r="I31" s="3" t="n">
        <v>2</v>
      </c>
      <c r="J31" s="3" t="n">
        <v>2</v>
      </c>
      <c r="K31" s="2" t="inlineStr">
        <is>
          <t>暂停措施涉及镓、锗、石墨，直接回答</t>
        </is>
      </c>
      <c r="L31" s="2" t="inlineStr">
        <is>
          <t>商务部</t>
        </is>
      </c>
      <c r="M31" s="2" t="inlineStr">
        <is>
          <t>Policy / Trade Risk</t>
        </is>
      </c>
      <c r="N31" s="2" t="inlineStr">
        <is>
          <t>export_control</t>
        </is>
      </c>
      <c r="O31" s="2" t="inlineStr">
        <is>
          <t>BIS_001; BIS_002; MOFCOM_001; MOFCOM_002</t>
        </is>
      </c>
      <c r="P31" s="2" t="inlineStr">
        <is>
          <t>一家中国电池材料企业向美国客户出口含石墨、镓或锗相关物项时，2026年应重点核查哪些中国出口管制目录和暂停措施，以及美方关联企业（50%穿透）规则？</t>
        </is>
      </c>
      <c r="Q31" s="2" t="inlineStr">
        <is>
          <t>Evidence ID: MOFCOM_002 Title: 商务部公告2025年第72号（暂停实施2024年第46号公告第二款，涉及对美两用物项出口管制） Publisher: 商务部 Country/Jurisdiction: CN / National Publication date: 2025-11-09 Status: CURRENT Topic: 出口管制 Applicability scope: GENERAL Related industries: ◆随产业 Key finding: 目前仅见第三方转述：暂停期至2026-11-27，涉</t>
        </is>
      </c>
    </row>
    <row r="32">
      <c r="A32" s="2" t="inlineStr">
        <is>
          <t>Q007</t>
        </is>
      </c>
      <c r="B32" s="2" t="n">
        <v>1</v>
      </c>
      <c r="C32" s="2" t="inlineStr">
        <is>
          <t>CASE_009</t>
        </is>
      </c>
      <c r="D32" s="2" t="inlineStr">
        <is>
          <t>BIS 50%穿透规则：发布→暂停→2026-11-10恢复的完整时间线</t>
        </is>
      </c>
      <c r="E32" s="2" t="inlineStr">
        <is>
          <t>出口管制</t>
        </is>
      </c>
      <c r="F32" s="2" t="inlineStr">
        <is>
          <t>S</t>
        </is>
      </c>
      <c r="G32" s="2" t="n">
        <v>2</v>
      </c>
      <c r="H32" s="2" t="n">
        <v>2</v>
      </c>
      <c r="I32" s="3" t="n">
        <v>2</v>
      </c>
      <c r="J32" s="3" t="n">
        <v>2</v>
      </c>
      <c r="K32" s="2" t="inlineStr">
        <is>
          <t>发布→暂停→恢复完整时间线，直接回答</t>
        </is>
      </c>
      <c r="L32" s="2" t="inlineStr">
        <is>
          <t>美国商务部工业与安全局（BIS）</t>
        </is>
      </c>
      <c r="M32" s="2" t="inlineStr">
        <is>
          <t>Policy / Trade Risk</t>
        </is>
      </c>
      <c r="N32" s="2" t="inlineStr">
        <is>
          <t>export_control</t>
        </is>
      </c>
      <c r="O32" s="2" t="inlineStr">
        <is>
          <t>BIS_001; BIS_002; CASE_009; ITA_001</t>
        </is>
      </c>
      <c r="P32" s="2" t="inlineStr">
        <is>
          <t>美国客户的母公司或关联公司被列入Entity List或MEU List时，我们应如何判断50%持股穿透规则是否会影响交易？当前暂停期又如何改变时间判断？</t>
        </is>
      </c>
      <c r="Q32" s="2"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row>
    <row r="33">
      <c r="A33" s="2" t="inlineStr">
        <is>
          <t>Q007</t>
        </is>
      </c>
      <c r="B33" s="2" t="n">
        <v>2</v>
      </c>
      <c r="C33" s="2" t="inlineStr">
        <is>
          <t>BIS_001</t>
        </is>
      </c>
      <c r="D33" s="2" t="inlineStr">
        <is>
          <t>Expansion of End-User Controls to Cover Affiliates of Certain Listed Entities（关联企业规则 / 50%穿透规则，临时最终规则）</t>
        </is>
      </c>
      <c r="E33" s="2" t="inlineStr">
        <is>
          <t>出口管制</t>
        </is>
      </c>
      <c r="F33" s="2" t="inlineStr">
        <is>
          <t>S</t>
        </is>
      </c>
      <c r="G33" s="2" t="n">
        <v>2</v>
      </c>
      <c r="H33" s="2" t="n">
        <v>2</v>
      </c>
      <c r="I33" s="3" t="n">
        <v>2</v>
      </c>
      <c r="J33" s="3" t="n">
        <v>2</v>
      </c>
      <c r="K33" s="2" t="inlineStr">
        <is>
          <t>50%持股穿透规则原文</t>
        </is>
      </c>
      <c r="L33" s="2" t="inlineStr">
        <is>
          <t>美国商务部工业与安全局（BIS）</t>
        </is>
      </c>
      <c r="M33" s="2" t="inlineStr">
        <is>
          <t>Policy / Trade Risk</t>
        </is>
      </c>
      <c r="N33" s="2" t="inlineStr">
        <is>
          <t>export_control</t>
        </is>
      </c>
      <c r="O33" s="2" t="inlineStr">
        <is>
          <t>BIS_001; BIS_002; CASE_009; ITA_001</t>
        </is>
      </c>
      <c r="P33" s="2" t="inlineStr">
        <is>
          <t>美国客户的母公司或关联公司被列入Entity List或MEU List时，我们应如何判断50%持股穿透规则是否会影响交易？当前暂停期又如何改变时间判断？</t>
        </is>
      </c>
      <c r="Q33" s="2" t="inlineStr">
        <is>
          <t>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t>
        </is>
      </c>
    </row>
    <row r="34">
      <c r="A34" s="2" t="inlineStr">
        <is>
          <t>Q007</t>
        </is>
      </c>
      <c r="B34" s="2" t="n">
        <v>3</v>
      </c>
      <c r="C34" s="2" t="inlineStr">
        <is>
          <t>BIS_002</t>
        </is>
      </c>
      <c r="D34" s="2" t="inlineStr">
        <is>
          <t>One Year Suspension of Expansion of End-User Controls for Affiliates of Certain Listed Entities（关联企业规则暂停一年）</t>
        </is>
      </c>
      <c r="E34" s="2" t="inlineStr">
        <is>
          <t>出口管制</t>
        </is>
      </c>
      <c r="F34" s="2" t="inlineStr">
        <is>
          <t>S</t>
        </is>
      </c>
      <c r="G34" s="2" t="n">
        <v>2</v>
      </c>
      <c r="H34" s="2" t="n">
        <v>2</v>
      </c>
      <c r="I34" s="3" t="n">
        <v>2</v>
      </c>
      <c r="J34" s="3" t="n">
        <v>2</v>
      </c>
      <c r="K34" s="2" t="inlineStr">
        <is>
          <t>暂停期原文，直接回答时间判断</t>
        </is>
      </c>
      <c r="L34" s="2" t="inlineStr">
        <is>
          <t>美国商务部工业与安全局（BIS）</t>
        </is>
      </c>
      <c r="M34" s="2" t="inlineStr">
        <is>
          <t>Policy / Trade Risk</t>
        </is>
      </c>
      <c r="N34" s="2" t="inlineStr">
        <is>
          <t>export_control</t>
        </is>
      </c>
      <c r="O34" s="2" t="inlineStr">
        <is>
          <t>BIS_001; BIS_002; CASE_009; ITA_001</t>
        </is>
      </c>
      <c r="P34" s="2" t="inlineStr">
        <is>
          <t>美国客户的母公司或关联公司被列入Entity List或MEU List时，我们应如何判断50%持股穿透规则是否会影响交易？当前暂停期又如何改变时间判断？</t>
        </is>
      </c>
      <c r="Q34" s="2"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row>
    <row r="35">
      <c r="A35" s="2" t="inlineStr">
        <is>
          <t>Q007</t>
        </is>
      </c>
      <c r="B35" s="2" t="n">
        <v>4</v>
      </c>
      <c r="C35" s="2" t="inlineStr">
        <is>
          <t>ITA_001</t>
        </is>
      </c>
      <c r="D35" s="2" t="inlineStr">
        <is>
          <t>Consolidated Screening List API（美国合并筛查清单）</t>
        </is>
      </c>
      <c r="E35" s="2" t="inlineStr">
        <is>
          <t>出口管制</t>
        </is>
      </c>
      <c r="F35" s="2" t="inlineStr">
        <is>
          <t>S</t>
        </is>
      </c>
      <c r="G35" s="2" t="n">
        <v>2</v>
      </c>
      <c r="H35" s="2" t="n">
        <v>2</v>
      </c>
      <c r="I35" s="3" t="n">
        <v>2</v>
      </c>
      <c r="J35" s="3" t="n">
        <v>2</v>
      </c>
      <c r="K35" s="2" t="inlineStr">
        <is>
          <t>合并筛查清单，用于判断客户是否被列名</t>
        </is>
      </c>
      <c r="L35" s="2" t="inlineStr">
        <is>
          <t>美国国际贸易管理局（ITA）</t>
        </is>
      </c>
      <c r="M35" s="2" t="inlineStr">
        <is>
          <t>Policy / Trade Risk</t>
        </is>
      </c>
      <c r="N35" s="2" t="inlineStr">
        <is>
          <t>export_control</t>
        </is>
      </c>
      <c r="O35" s="2" t="inlineStr">
        <is>
          <t>BIS_001; BIS_002; CASE_009; ITA_001</t>
        </is>
      </c>
      <c r="P35" s="2" t="inlineStr">
        <is>
          <t>美国客户的母公司或关联公司被列入Entity List或MEU List时，我们应如何判断50%持股穿透规则是否会影响交易？当前暂停期又如何改变时间判断？</t>
        </is>
      </c>
      <c r="Q35" s="2" t="inlineStr">
        <is>
          <t>Bulk database source with 26144 records. Distinct listed entity names: 25837. Programs covered: RUSSIA-EO14024, SDGT, IFSR, SDNTK, NPWMD, IRAN-EO13902, UKRAINE-EO13662, GLOMAG, ILLICIT-DRUGS-EO14059, IRAN, IRAN-EO13846, TCO, IRGC, CYBER2, IRAN-HR. Component lists: Specially Desig</t>
        </is>
      </c>
    </row>
    <row r="36">
      <c r="A36" s="2" t="inlineStr">
        <is>
          <t>Q007</t>
        </is>
      </c>
      <c r="B36" s="2" t="n">
        <v>5</v>
      </c>
      <c r="C36" s="2" t="inlineStr">
        <is>
          <t>FR_001</t>
        </is>
      </c>
      <c r="D36" s="2" t="inlineStr">
        <is>
          <t>Federal Register API（美国联邦公报）</t>
        </is>
      </c>
      <c r="E36" s="2" t="inlineStr">
        <is>
          <t>出口管制/关税</t>
        </is>
      </c>
      <c r="F36" s="2" t="inlineStr">
        <is>
          <t>S</t>
        </is>
      </c>
      <c r="G36" s="2" t="n">
        <v>1</v>
      </c>
      <c r="H36" s="2" t="n">
        <v>2</v>
      </c>
      <c r="I36" s="3" t="n">
        <v>1</v>
      </c>
      <c r="J36" s="3" t="n">
        <v>2</v>
      </c>
      <c r="K36" s="2" t="inlineStr">
        <is>
          <t>新规监测入口，非穿透判断本身</t>
        </is>
      </c>
      <c r="L36" s="2" t="inlineStr">
        <is>
          <t>美国国家档案馆联邦公报办公室</t>
        </is>
      </c>
      <c r="M36" s="2" t="inlineStr">
        <is>
          <t>Policy / Trade Risk</t>
        </is>
      </c>
      <c r="N36" s="2" t="inlineStr">
        <is>
          <t>export_control</t>
        </is>
      </c>
      <c r="O36" s="2" t="inlineStr">
        <is>
          <t>BIS_001; BIS_002; CASE_009; ITA_001</t>
        </is>
      </c>
      <c r="P36" s="2" t="inlineStr">
        <is>
          <t>美国客户的母公司或关联公司被列入Entity List或MEU List时，我们应如何判断50%持股穿透规则是否会影响交易？当前暂停期又如何改变时间判断？</t>
        </is>
      </c>
      <c r="Q36" s="2" t="inlineStr">
        <is>
          <t>Evidence ID: FR_001 Title: Federal Register API（美国联邦公报） Publisher: 美国国家档案馆联邦公报办公室 Country/Jurisdiction: US / Federal Publication date: 持续更新（每日） Status: CURRENT Topic: 出口管制/关税 Applicability scope: GENERAL Related industries: 通用 Key finding: 免费，无需key；按机构（BIS/USTR/CBP）过滤。 Bulk datab</t>
        </is>
      </c>
    </row>
    <row r="37">
      <c r="A37" s="2" t="inlineStr">
        <is>
          <t>Q008</t>
        </is>
      </c>
      <c r="B37" s="2" t="n">
        <v>1</v>
      </c>
      <c r="C37" s="2" t="inlineStr">
        <is>
          <t>BIS_002</t>
        </is>
      </c>
      <c r="D37" s="2" t="inlineStr">
        <is>
          <t>One Year Suspension of Expansion of End-User Controls for Affiliates of Certain Listed Entities（关联企业规则暂停一年）</t>
        </is>
      </c>
      <c r="E37" s="2" t="inlineStr">
        <is>
          <t>出口管制</t>
        </is>
      </c>
      <c r="F37" s="2" t="inlineStr">
        <is>
          <t>S</t>
        </is>
      </c>
      <c r="G37" s="2" t="n">
        <v>2</v>
      </c>
      <c r="H37" s="2" t="n">
        <v>2</v>
      </c>
      <c r="I37" s="3" t="n">
        <v>2</v>
      </c>
      <c r="J37" s="3" t="n">
        <v>2</v>
      </c>
      <c r="K37" s="2" t="inlineStr">
        <is>
          <t>暂停期至2026-11-09，正好覆盖签约时点</t>
        </is>
      </c>
      <c r="L37" s="2" t="inlineStr">
        <is>
          <t>美国商务部工业与安全局（BIS）</t>
        </is>
      </c>
      <c r="M37" s="2" t="inlineStr">
        <is>
          <t>Policy / Trade Risk</t>
        </is>
      </c>
      <c r="N37" s="2" t="inlineStr">
        <is>
          <t>export_control</t>
        </is>
      </c>
      <c r="O37" s="2" t="inlineStr">
        <is>
          <t>BIS_001; BIS_002; CASE_009; FR_001</t>
        </is>
      </c>
      <c r="P37" s="2" t="inlineStr">
        <is>
          <t>我们准备在2026年11月前后签署一份对美长期供货合同。BIS关联企业规则的暂停与恢复时间线会带来什么合规窗口风险？</t>
        </is>
      </c>
      <c r="Q37" s="2"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row>
    <row r="38">
      <c r="A38" s="2" t="inlineStr">
        <is>
          <t>Q008</t>
        </is>
      </c>
      <c r="B38" s="2" t="n">
        <v>2</v>
      </c>
      <c r="C38" s="2" t="inlineStr">
        <is>
          <t>CASE_009</t>
        </is>
      </c>
      <c r="D38" s="2" t="inlineStr">
        <is>
          <t>BIS 50%穿透规则：发布→暂停→2026-11-10恢复的完整时间线</t>
        </is>
      </c>
      <c r="E38" s="2" t="inlineStr">
        <is>
          <t>出口管制</t>
        </is>
      </c>
      <c r="F38" s="2" t="inlineStr">
        <is>
          <t>S</t>
        </is>
      </c>
      <c r="G38" s="2" t="n">
        <v>2</v>
      </c>
      <c r="H38" s="2" t="n">
        <v>2</v>
      </c>
      <c r="I38" s="3" t="n">
        <v>2</v>
      </c>
      <c r="J38" s="3" t="n">
        <v>2</v>
      </c>
      <c r="K38" s="2" t="inlineStr">
        <is>
          <t>完整时间线，直接回答合规窗口</t>
        </is>
      </c>
      <c r="L38" s="2" t="inlineStr">
        <is>
          <t>美国商务部工业与安全局（BIS）</t>
        </is>
      </c>
      <c r="M38" s="2" t="inlineStr">
        <is>
          <t>Policy / Trade Risk</t>
        </is>
      </c>
      <c r="N38" s="2" t="inlineStr">
        <is>
          <t>export_control</t>
        </is>
      </c>
      <c r="O38" s="2" t="inlineStr">
        <is>
          <t>BIS_001; BIS_002; CASE_009; FR_001</t>
        </is>
      </c>
      <c r="P38" s="2" t="inlineStr">
        <is>
          <t>我们准备在2026年11月前后签署一份对美长期供货合同。BIS关联企业规则的暂停与恢复时间线会带来什么合规窗口风险？</t>
        </is>
      </c>
      <c r="Q38" s="2"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row>
    <row r="39">
      <c r="A39" s="2" t="inlineStr">
        <is>
          <t>Q008</t>
        </is>
      </c>
      <c r="B39" s="2" t="n">
        <v>3</v>
      </c>
      <c r="C39" s="2" t="inlineStr">
        <is>
          <t>BIS_001</t>
        </is>
      </c>
      <c r="D39" s="2" t="inlineStr">
        <is>
          <t>Expansion of End-User Controls to Cover Affiliates of Certain Listed Entities（关联企业规则 / 50%穿透规则，临时最终规则）</t>
        </is>
      </c>
      <c r="E39" s="2" t="inlineStr">
        <is>
          <t>出口管制</t>
        </is>
      </c>
      <c r="F39" s="2" t="inlineStr">
        <is>
          <t>S</t>
        </is>
      </c>
      <c r="G39" s="2" t="n">
        <v>2</v>
      </c>
      <c r="H39" s="2" t="n">
        <v>2</v>
      </c>
      <c r="I39" s="3" t="n">
        <v>2</v>
      </c>
      <c r="J39" s="3" t="n">
        <v>2</v>
      </c>
      <c r="K39" s="2" t="inlineStr">
        <is>
          <t>恢复后适用的规则原文</t>
        </is>
      </c>
      <c r="L39" s="2" t="inlineStr">
        <is>
          <t>美国商务部工业与安全局（BIS）</t>
        </is>
      </c>
      <c r="M39" s="2" t="inlineStr">
        <is>
          <t>Policy / Trade Risk</t>
        </is>
      </c>
      <c r="N39" s="2" t="inlineStr">
        <is>
          <t>export_control</t>
        </is>
      </c>
      <c r="O39" s="2" t="inlineStr">
        <is>
          <t>BIS_001; BIS_002; CASE_009; FR_001</t>
        </is>
      </c>
      <c r="P39" s="2" t="inlineStr">
        <is>
          <t>我们准备在2026年11月前后签署一份对美长期供货合同。BIS关联企业规则的暂停与恢复时间线会带来什么合规窗口风险？</t>
        </is>
      </c>
      <c r="Q39" s="2" t="inlineStr">
        <is>
          <t>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t>
        </is>
      </c>
    </row>
    <row r="40">
      <c r="A40" s="2" t="inlineStr">
        <is>
          <t>Q008</t>
        </is>
      </c>
      <c r="B40" s="2" t="n">
        <v>4</v>
      </c>
      <c r="C40" s="2" t="inlineStr">
        <is>
          <t>ITA_001</t>
        </is>
      </c>
      <c r="D40" s="2" t="inlineStr">
        <is>
          <t>Consolidated Screening List API（美国合并筛查清单）</t>
        </is>
      </c>
      <c r="E40" s="2" t="inlineStr">
        <is>
          <t>出口管制</t>
        </is>
      </c>
      <c r="F40" s="2" t="inlineStr">
        <is>
          <t>S</t>
        </is>
      </c>
      <c r="G40" s="2" t="n">
        <v>1</v>
      </c>
      <c r="H40" s="2" t="n">
        <v>2</v>
      </c>
      <c r="I40" s="3" t="n">
        <v>1</v>
      </c>
      <c r="J40" s="3" t="n">
        <v>2</v>
      </c>
      <c r="K40" s="2" t="inlineStr">
        <is>
          <t>筛查数据源，对窗口风险为辅助</t>
        </is>
      </c>
      <c r="L40" s="2" t="inlineStr">
        <is>
          <t>美国国际贸易管理局（ITA）</t>
        </is>
      </c>
      <c r="M40" s="2" t="inlineStr">
        <is>
          <t>Policy / Trade Risk</t>
        </is>
      </c>
      <c r="N40" s="2" t="inlineStr">
        <is>
          <t>export_control</t>
        </is>
      </c>
      <c r="O40" s="2" t="inlineStr">
        <is>
          <t>BIS_001; BIS_002; CASE_009; FR_001</t>
        </is>
      </c>
      <c r="P40" s="2" t="inlineStr">
        <is>
          <t>我们准备在2026年11月前后签署一份对美长期供货合同。BIS关联企业规则的暂停与恢复时间线会带来什么合规窗口风险？</t>
        </is>
      </c>
      <c r="Q40" s="2" t="inlineStr">
        <is>
          <t>Evidence ID: ITA_001 Title: Consolidated Screening List API（美国合并筛查清单） Publisher: 美国国际贸易管理局（ITA） Country/Jurisdiction: US / Federal Publication date: 持续更新（每日） Status: CURRENT Topic: 出口管制 Applicability scope: GENERAL Related industries: 通用 Key finding: 合并商务部、国务院、财政部11份清单；支持模糊名称搜索。</t>
        </is>
      </c>
    </row>
    <row r="41">
      <c r="A41" s="2" t="inlineStr">
        <is>
          <t>Q008</t>
        </is>
      </c>
      <c r="B41" s="2" t="n">
        <v>5</v>
      </c>
      <c r="C41" s="2" t="inlineStr">
        <is>
          <t>MOFCOM_002</t>
        </is>
      </c>
      <c r="D41" s="2" t="inlineStr">
        <is>
          <t>商务部公告2025年第72号（暂停实施2024年第46号公告第二款，涉及对美两用物项出口管制）</t>
        </is>
      </c>
      <c r="E41" s="2" t="inlineStr">
        <is>
          <t>出口管制</t>
        </is>
      </c>
      <c r="F41" s="2" t="inlineStr">
        <is>
          <t>S</t>
        </is>
      </c>
      <c r="G41" s="2" t="n">
        <v>1</v>
      </c>
      <c r="H41" s="2" t="n">
        <v>2</v>
      </c>
      <c r="I41" s="3" t="n">
        <v>1</v>
      </c>
      <c r="J41" s="3" t="n">
        <v>2</v>
      </c>
      <c r="K41" s="2" t="inlineStr">
        <is>
          <t>中国侧暂停措施，机制不同，仅辅助</t>
        </is>
      </c>
      <c r="L41" s="2" t="inlineStr">
        <is>
          <t>商务部</t>
        </is>
      </c>
      <c r="M41" s="2" t="inlineStr">
        <is>
          <t>Policy / Trade Risk</t>
        </is>
      </c>
      <c r="N41" s="2" t="inlineStr">
        <is>
          <t>export_control</t>
        </is>
      </c>
      <c r="O41" s="2" t="inlineStr">
        <is>
          <t>BIS_001; BIS_002; CASE_009; FR_001</t>
        </is>
      </c>
      <c r="P41" s="2" t="inlineStr">
        <is>
          <t>我们准备在2026年11月前后签署一份对美长期供货合同。BIS关联企业规则的暂停与恢复时间线会带来什么合规窗口风险？</t>
        </is>
      </c>
      <c r="Q41" s="2" t="inlineStr">
        <is>
          <t>Evidence ID: MOFCOM_002 Title: 商务部公告2025年第72号（暂停实施2024年第46号公告第二款，涉及对美两用物项出口管制） Publisher: 商务部 Country/Jurisdiction: CN / National Publication date: 2025-11-09 Status: CURRENT Topic: 出口管制 Applicability scope: GENERAL Related industries: ◆随产业 Key finding: 目前仅见第三方转述：暂停期至2026-11-27，涉</t>
        </is>
      </c>
    </row>
    <row r="42">
      <c r="A42" s="2" t="inlineStr">
        <is>
          <t>Q009</t>
        </is>
      </c>
      <c r="B42" s="2" t="n">
        <v>1</v>
      </c>
      <c r="C42" s="2" t="inlineStr">
        <is>
          <t>WH_002</t>
        </is>
      </c>
      <c r="D42" s="2" t="inlineStr">
        <is>
          <t>The Great Transshipment Scam: Rise, Scope, and Costs（白宫非法转运报告）</t>
        </is>
      </c>
      <c r="E42" s="2" t="inlineStr">
        <is>
          <t>原产地与转运</t>
        </is>
      </c>
      <c r="F42" s="2" t="inlineStr">
        <is>
          <t>S</t>
        </is>
      </c>
      <c r="G42" s="2" t="n">
        <v>2</v>
      </c>
      <c r="H42" s="2" t="n">
        <v>2</v>
      </c>
      <c r="I42" s="3" t="n">
        <v>2</v>
      </c>
      <c r="J42" s="3" t="n">
        <v>2</v>
      </c>
      <c r="K42" s="2" t="inlineStr">
        <is>
          <t>白宫转运报告，政策方向直接证据</t>
        </is>
      </c>
      <c r="L42" s="2" t="inlineStr">
        <is>
          <t>美国白宫贸易与制造业政策办公室</t>
        </is>
      </c>
      <c r="M42" s="2" t="inlineStr">
        <is>
          <t>Policy / Trade Risk</t>
        </is>
      </c>
      <c r="N42" s="2" t="inlineStr">
        <is>
          <t>trade_policy</t>
        </is>
      </c>
      <c r="O42" s="2" t="inlineStr">
        <is>
          <t>WH_001; WH_002; CASE_010; CSIS_001</t>
        </is>
      </c>
      <c r="P42" s="2" t="inlineStr">
        <is>
          <t>公司计划通过越南、泰国或马来西亚完成部分加工后出口美国。美国当前对非法转运和原产地执法的政策方向会带来哪些额外风险？</t>
        </is>
      </c>
      <c r="Q42"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43">
      <c r="A43" s="2" t="inlineStr">
        <is>
          <t>Q009</t>
        </is>
      </c>
      <c r="B43" s="2" t="n">
        <v>2</v>
      </c>
      <c r="C43" s="2" t="inlineStr">
        <is>
          <t>CASE_010</t>
        </is>
      </c>
      <c r="D43" s="2" t="inlineStr">
        <is>
          <t>白宫点名东南亚为非法转运高风险地区，并推出AI执法工具</t>
        </is>
      </c>
      <c r="E43" s="2" t="inlineStr">
        <is>
          <t>原产地与转运</t>
        </is>
      </c>
      <c r="F43" s="2" t="inlineStr">
        <is>
          <t>S</t>
        </is>
      </c>
      <c r="G43" s="2" t="n">
        <v>2</v>
      </c>
      <c r="H43" s="2" t="n">
        <v>2</v>
      </c>
      <c r="I43" s="3" t="n">
        <v>2</v>
      </c>
      <c r="J43" s="3" t="n">
        <v>2</v>
      </c>
      <c r="K43" s="2" t="inlineStr">
        <is>
          <t>点名越/泰/马为转运高风险，直接</t>
        </is>
      </c>
      <c r="L43" s="2" t="inlineStr">
        <is>
          <t>美国白宫（经律所解读）</t>
        </is>
      </c>
      <c r="M43" s="2" t="inlineStr">
        <is>
          <t>Policy / Trade Risk</t>
        </is>
      </c>
      <c r="N43" s="2" t="inlineStr">
        <is>
          <t>trade_policy</t>
        </is>
      </c>
      <c r="O43" s="2" t="inlineStr">
        <is>
          <t>WH_001; WH_002; CASE_010; CSIS_001</t>
        </is>
      </c>
      <c r="P43" s="2" t="inlineStr">
        <is>
          <t>公司计划通过越南、泰国或马来西亚完成部分加工后出口美国。美国当前对非法转运和原产地执法的政策方向会带来哪些额外风险？</t>
        </is>
      </c>
      <c r="Q43" s="2" t="inlineStr">
        <is>
          <t>专业领域 税务 全球贸易 2026年8月13日 转运执法加紧 白宫报告《 大转运骗局 》将非法转运列为主要的关税规避风险，估计年流动额在400亿美元至3030亿美元之间，并宣布扩大使用分析和人工智能工具以识别虚假原产地索赔。 结合行政命令14411收紧的进口商问责要求，依赖供应商声明却未能证明实质性转变发生地点的进口商面临更多关税、处罚、拘留、EAPA行动及可能的刑事执法举报风险。 什么是转运？ 转运通常指通过中介国转运货物，以隐藏其真实产地并获得更优惠的关税待遇。 合法的供应链可能涉及多个国家，但当货物仅被重新标记、重新包装、重新开票、进行轻微加工，或</t>
        </is>
      </c>
    </row>
    <row r="44">
      <c r="A44" s="2" t="inlineStr">
        <is>
          <t>Q009</t>
        </is>
      </c>
      <c r="B44" s="2" t="n">
        <v>3</v>
      </c>
      <c r="C44" s="2" t="inlineStr">
        <is>
          <t>WH_001</t>
        </is>
      </c>
      <c r="D44" s="2" t="inlineStr">
        <is>
          <t>Executive Order 14411: Strengthening Customs Enforcement（加强海关执法行政令）</t>
        </is>
      </c>
      <c r="E44" s="2" t="inlineStr">
        <is>
          <t>原产地与转运</t>
        </is>
      </c>
      <c r="F44" s="2" t="inlineStr">
        <is>
          <t>S</t>
        </is>
      </c>
      <c r="G44" s="2" t="n">
        <v>2</v>
      </c>
      <c r="H44" s="2" t="n">
        <v>2</v>
      </c>
      <c r="I44" s="3" t="n">
        <v>2</v>
      </c>
      <c r="J44" s="3" t="n">
        <v>2</v>
      </c>
      <c r="K44" s="2" t="inlineStr">
        <is>
          <t>EO14411收紧海关执法，直接</t>
        </is>
      </c>
      <c r="L44" s="2" t="inlineStr">
        <is>
          <t>美国白宫</t>
        </is>
      </c>
      <c r="M44" s="2" t="inlineStr">
        <is>
          <t>Policy / Trade Risk</t>
        </is>
      </c>
      <c r="N44" s="2" t="inlineStr">
        <is>
          <t>trade_policy</t>
        </is>
      </c>
      <c r="O44" s="2" t="inlineStr">
        <is>
          <t>WH_001; WH_002; CASE_010; CSIS_001</t>
        </is>
      </c>
      <c r="P44" s="2" t="inlineStr">
        <is>
          <t>公司计划通过越南、泰国或马来西亚完成部分加工后出口美国。美国当前对非法转运和原产地执法的政策方向会带来哪些额外风险？</t>
        </is>
      </c>
      <c r="Q44" s="2"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row>
    <row r="45">
      <c r="A45" s="2" t="inlineStr">
        <is>
          <t>Q009</t>
        </is>
      </c>
      <c r="B45" s="2" t="n">
        <v>4</v>
      </c>
      <c r="C45" s="2" t="inlineStr">
        <is>
          <t>CASE_002</t>
        </is>
      </c>
      <c r="D45" s="2" t="inlineStr">
        <is>
          <t>美国对东南亚四国光伏产品反规避认定：视为中国原产并适用对华双反</t>
        </is>
      </c>
      <c r="E45" s="2" t="inlineStr">
        <is>
          <t>反规避</t>
        </is>
      </c>
      <c r="F45" s="2" t="inlineStr">
        <is>
          <t>S</t>
        </is>
      </c>
      <c r="G45" s="2" t="n">
        <v>1</v>
      </c>
      <c r="H45" s="2" t="n">
        <v>2</v>
      </c>
      <c r="I45" s="3" t="n">
        <v>1</v>
      </c>
      <c r="J45" s="3" t="n">
        <v>2</v>
      </c>
      <c r="K45" s="2" t="inlineStr">
        <is>
          <t>光伏反规避判例，同类原产地执法先例</t>
        </is>
      </c>
      <c r="L45" s="2" t="inlineStr">
        <is>
          <t>美国商务部（经律所解读）</t>
        </is>
      </c>
      <c r="M45" s="2" t="inlineStr">
        <is>
          <t>Policy / Trade Risk</t>
        </is>
      </c>
      <c r="N45" s="2" t="inlineStr">
        <is>
          <t>trade_policy</t>
        </is>
      </c>
      <c r="O45" s="2" t="inlineStr">
        <is>
          <t>WH_001; WH_002; CASE_010; CSIS_001</t>
        </is>
      </c>
      <c r="P45" s="2" t="inlineStr">
        <is>
          <t>公司计划通过越南、泰国或马来西亚完成部分加工后出口美国。美国当前对非法转运和原产地执法的政策方向会带来哪些额外风险？</t>
        </is>
      </c>
      <c r="Q45"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46">
      <c r="A46" s="2" t="inlineStr">
        <is>
          <t>Q009</t>
        </is>
      </c>
      <c r="B46" s="2" t="n">
        <v>5</v>
      </c>
      <c r="C46" s="2" t="inlineStr">
        <is>
          <t>CSIS_001</t>
        </is>
      </c>
      <c r="D46" s="2" t="inlineStr">
        <is>
          <t>The Visibility Gap: How AI Can Stop Chinese Transshipment Under USMCA</t>
        </is>
      </c>
      <c r="E46" s="2" t="inlineStr">
        <is>
          <t>原产地与转运</t>
        </is>
      </c>
      <c r="F46" s="2" t="inlineStr">
        <is>
          <t>A</t>
        </is>
      </c>
      <c r="G46" s="2" t="n">
        <v>2</v>
      </c>
      <c r="H46" s="2" t="n">
        <v>2</v>
      </c>
      <c r="I46" s="3" t="n">
        <v>2</v>
      </c>
      <c r="J46" s="3" t="n">
        <v>2</v>
      </c>
      <c r="K46" s="2" t="inlineStr">
        <is>
          <t>AI识别转运的可见性缺口分析，直接</t>
        </is>
      </c>
      <c r="L46" s="2" t="inlineStr">
        <is>
          <t>战略与国际研究中心（CSIS）</t>
        </is>
      </c>
      <c r="M46" s="2" t="inlineStr">
        <is>
          <t>Policy / Trade Risk</t>
        </is>
      </c>
      <c r="N46" s="2" t="inlineStr">
        <is>
          <t>trade_policy</t>
        </is>
      </c>
      <c r="O46" s="2" t="inlineStr">
        <is>
          <t>WH_001; WH_002; CASE_010; CSIS_001</t>
        </is>
      </c>
      <c r="P46" s="2" t="inlineStr">
        <is>
          <t>公司计划通过越南、泰国或马来西亚完成部分加工后出口美国。美国当前对非法转运和原产地执法的政策方向会带来哪些额外风险？</t>
        </is>
      </c>
      <c r="Q46" s="2" t="inlineStr">
        <is>
          <t>Evidence ID: CSIS_001 Title: The Visibility Gap: How AI Can Stop Chinese Transshipment Under USMCA Publisher: 战略与国际研究中心（CSIS） Country/Jurisdiction: US / Federal Publication date: 2026-08 Status: CURRENT Topic: 原产地与转运 Applicability scope: GENERAL Related industries: 通用 Key finding</t>
        </is>
      </c>
    </row>
    <row r="47">
      <c r="A47" s="2" t="inlineStr">
        <is>
          <t>Q010</t>
        </is>
      </c>
      <c r="B47" s="2" t="n">
        <v>1</v>
      </c>
      <c r="C47" s="2" t="inlineStr">
        <is>
          <t>CASE_002</t>
        </is>
      </c>
      <c r="D47" s="2" t="inlineStr">
        <is>
          <t>美国对东南亚四国光伏产品反规避认定：视为中国原产并适用对华双反</t>
        </is>
      </c>
      <c r="E47" s="2" t="inlineStr">
        <is>
          <t>反规避</t>
        </is>
      </c>
      <c r="F47" s="2" t="inlineStr">
        <is>
          <t>S</t>
        </is>
      </c>
      <c r="G47" s="2" t="n">
        <v>2</v>
      </c>
      <c r="H47" s="2" t="n">
        <v>2</v>
      </c>
      <c r="I47" s="3" t="n">
        <v>2</v>
      </c>
      <c r="J47" s="3" t="n">
        <v>2</v>
      </c>
      <c r="K47" s="2" t="inlineStr">
        <is>
          <t>“认定规避”判例，直接检验该假设</t>
        </is>
      </c>
      <c r="L47" s="2" t="inlineStr">
        <is>
          <t>美国商务部（经律所解读）</t>
        </is>
      </c>
      <c r="M47" s="2" t="inlineStr">
        <is>
          <t>Policy / Trade Risk</t>
        </is>
      </c>
      <c r="N47" s="2" t="inlineStr">
        <is>
          <t>trade_policy</t>
        </is>
      </c>
      <c r="O47" s="2" t="inlineStr">
        <is>
          <t>CASE_002; CASE_003; CASE_010; DOC_001; WH_002</t>
        </is>
      </c>
      <c r="P47" s="2" t="inlineStr">
        <is>
          <t>如果我们想用历史执法案例评估‘在东南亚加工就能改变原产地并避开美国贸易救济措施’这一假设，现有证据支持什么判断？</t>
        </is>
      </c>
      <c r="Q47"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48">
      <c r="A48" s="2" t="inlineStr">
        <is>
          <t>Q010</t>
        </is>
      </c>
      <c r="B48" s="2" t="n">
        <v>2</v>
      </c>
      <c r="C48" s="2" t="inlineStr">
        <is>
          <t>RETURN_001</t>
        </is>
      </c>
      <c r="D48" s="2" t="inlineStr">
        <is>
          <t>恩捷股份 Yunnan Energy New Material (Semcorp)：重新评估 / 回流中国（提高中国生产比例）</t>
        </is>
      </c>
      <c r="E48" s="2" t="inlineStr">
        <is>
          <t>供应链布局</t>
        </is>
      </c>
      <c r="F48" s="2" t="inlineStr">
        <is>
          <t>S</t>
        </is>
      </c>
      <c r="G48" s="2" t="n">
        <v>1</v>
      </c>
      <c r="H48" s="2" t="n">
        <v>2</v>
      </c>
      <c r="I48" s="3" t="n">
        <v>0</v>
      </c>
      <c r="J48" s="3" t="n">
        <v>2</v>
      </c>
      <c r="K48" s="2" t="inlineStr">
        <is>
          <t>终止马来西亚项目，与该假设无关 ｜ 人工判定与Auto(1)不同，请复核</t>
        </is>
      </c>
      <c r="L48" s="2" t="inlineStr">
        <is>
          <t>恩捷股份公告（经东方财富网 / 央广网报道）</t>
        </is>
      </c>
      <c r="M48" s="2" t="inlineStr">
        <is>
          <t>Policy / Trade Risk</t>
        </is>
      </c>
      <c r="N48" s="2" t="inlineStr">
        <is>
          <t>trade_policy</t>
        </is>
      </c>
      <c r="O48" s="2" t="inlineStr">
        <is>
          <t>CASE_002; CASE_003; CASE_010; DOC_001; WH_002</t>
        </is>
      </c>
      <c r="P48" s="2" t="inlineStr">
        <is>
          <t>如果我们想用历史执法案例评估‘在东南亚加工就能改变原产地并避开美国贸易救济措施’这一假设，现有证据支持什么判断？</t>
        </is>
      </c>
      <c r="Q48" s="2" t="inlineStr">
        <is>
          <t>## 一、决策前状态（Initial Situation） 生产布局：湿法锂电隔膜产能以中国为主（上海、珠海、无锡等），为全球隔膜龙头。 主要市场：中国 + 海外电池客户（含欧美）。 供应链结构：基膜与涂覆材料主要在中国生产，产品出口海外。 面临的问题：2024 年规划马来西亚隔膜项目（约 10 亿平方米/年、投资约 20 亿元）以求贴近海外客户并规避关税。 ## 二、决策触发（Decision Trigger） 触发类型：cost_change（成本变化） 触发细节：外部市场环境及行业竞争格局发生变化（隔膜价格下行、行业产能过剩、海外建厂成本高于预期）</t>
        </is>
      </c>
    </row>
    <row r="49">
      <c r="A49" s="2" t="inlineStr">
        <is>
          <t>Q010</t>
        </is>
      </c>
      <c r="B49" s="2" t="n">
        <v>3</v>
      </c>
      <c r="C49" s="2" t="inlineStr">
        <is>
          <t>RETURN_004</t>
        </is>
      </c>
      <c r="D49" s="2" t="inlineStr">
        <is>
          <t>蜂巢能源 SVOLT（欧洲业务）：重新评估 / 回流中国（维持现有海外布局（收缩新增））</t>
        </is>
      </c>
      <c r="E49" s="2" t="inlineStr">
        <is>
          <t>供应链布局</t>
        </is>
      </c>
      <c r="F49" s="2" t="inlineStr">
        <is>
          <t>B+</t>
        </is>
      </c>
      <c r="G49" s="2" t="n">
        <v>1</v>
      </c>
      <c r="H49" s="2" t="n">
        <v>1</v>
      </c>
      <c r="I49" s="3" t="n">
        <v>0</v>
      </c>
      <c r="J49" s="3" t="n">
        <v>1</v>
      </c>
      <c r="K49" s="2" t="inlineStr">
        <is>
          <t>欧洲业务收缩，与该假设无关 ｜ 人工判定与Auto(1)不同，请复核</t>
        </is>
      </c>
      <c r="L49" s="2" t="inlineStr">
        <is>
          <t>36氪 / 财新网</t>
        </is>
      </c>
      <c r="M49" s="2" t="inlineStr">
        <is>
          <t>Policy / Trade Risk</t>
        </is>
      </c>
      <c r="N49" s="2" t="inlineStr">
        <is>
          <t>trade_policy</t>
        </is>
      </c>
      <c r="O49" s="2" t="inlineStr">
        <is>
          <t>CASE_002; CASE_003; CASE_010; DOC_001; WH_002</t>
        </is>
      </c>
      <c r="P49" s="2" t="inlineStr">
        <is>
          <t>如果我们想用历史执法案例评估‘在东南亚加工就能改变原产地并避开美国贸易救济措施’这一假设，现有证据支持什么判断？</t>
        </is>
      </c>
      <c r="Q49" s="2" t="inlineStr">
        <is>
          <t>Evidence ID: RETURN_004 Title: 蜂巢能源 SVOLT（欧洲业务）：重新评估 / 回流中国（维持现有海外布局（收缩新增）） Publisher: 36氪 / 财新网 Country/Jurisdiction: CN/DE Publication date: 2024-10-28 Status: CURRENT Topic: 供应链布局 Applicability scope: GENERAL Related industries: 动力电池 Claim: 2024-05 取消勃兰登堡州电芯超级工厂计划，2024-10 宣布停建</t>
        </is>
      </c>
    </row>
    <row r="50">
      <c r="A50" s="2" t="inlineStr">
        <is>
          <t>Q010</t>
        </is>
      </c>
      <c r="B50" s="2" t="n">
        <v>4</v>
      </c>
      <c r="C50" s="2" t="inlineStr">
        <is>
          <t>CASE_010</t>
        </is>
      </c>
      <c r="D50" s="2" t="inlineStr">
        <is>
          <t>白宫点名东南亚为非法转运高风险地区，并推出AI执法工具</t>
        </is>
      </c>
      <c r="E50" s="2" t="inlineStr">
        <is>
          <t>原产地与转运</t>
        </is>
      </c>
      <c r="F50" s="2" t="inlineStr">
        <is>
          <t>S</t>
        </is>
      </c>
      <c r="G50" s="2" t="n">
        <v>2</v>
      </c>
      <c r="H50" s="2" t="n">
        <v>2</v>
      </c>
      <c r="I50" s="3" t="n">
        <v>2</v>
      </c>
      <c r="J50" s="3" t="n">
        <v>2</v>
      </c>
      <c r="K50" s="2" t="inlineStr">
        <is>
          <t>官方执法立场，说明原产地改判风险</t>
        </is>
      </c>
      <c r="L50" s="2" t="inlineStr">
        <is>
          <t>美国白宫（经律所解读）</t>
        </is>
      </c>
      <c r="M50" s="2" t="inlineStr">
        <is>
          <t>Policy / Trade Risk</t>
        </is>
      </c>
      <c r="N50" s="2" t="inlineStr">
        <is>
          <t>trade_policy</t>
        </is>
      </c>
      <c r="O50" s="2" t="inlineStr">
        <is>
          <t>CASE_002; CASE_003; CASE_010; DOC_001; WH_002</t>
        </is>
      </c>
      <c r="P50" s="2" t="inlineStr">
        <is>
          <t>如果我们想用历史执法案例评估‘在东南亚加工就能改变原产地并避开美国贸易救济措施’这一假设，现有证据支持什么判断？</t>
        </is>
      </c>
      <c r="Q50" s="2"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row>
    <row r="51">
      <c r="A51" s="2" t="inlineStr">
        <is>
          <t>Q010</t>
        </is>
      </c>
      <c r="B51" s="2" t="n">
        <v>5</v>
      </c>
      <c r="C51" s="2" t="inlineStr">
        <is>
          <t>RELOC_005</t>
        </is>
      </c>
      <c r="D51" s="2" t="inlineStr">
        <is>
          <t>欣旺达 Sunwoda：中国 → 东南亚转移（多地区混合布局）</t>
        </is>
      </c>
      <c r="E51" s="2" t="inlineStr">
        <is>
          <t>供应链布局</t>
        </is>
      </c>
      <c r="F51" s="2" t="inlineStr">
        <is>
          <t>B+</t>
        </is>
      </c>
      <c r="G51" s="2" t="n">
        <v>1</v>
      </c>
      <c r="H51" s="2" t="n">
        <v>1</v>
      </c>
      <c r="I51" s="3" t="n">
        <v>0</v>
      </c>
      <c r="J51" s="3" t="n">
        <v>1</v>
      </c>
      <c r="K51" s="2" t="inlineStr">
        <is>
          <t>越南建厂案例，不提供执法判断 ｜ 人工判定与Auto(1)不同，请复核</t>
        </is>
      </c>
      <c r="L51" s="2" t="inlineStr">
        <is>
          <t>东方财富网 / 腾讯新闻</t>
        </is>
      </c>
      <c r="M51" s="2" t="inlineStr">
        <is>
          <t>Policy / Trade Risk</t>
        </is>
      </c>
      <c r="N51" s="2" t="inlineStr">
        <is>
          <t>trade_policy</t>
        </is>
      </c>
      <c r="O51" s="2" t="inlineStr">
        <is>
          <t>CASE_002; CASE_003; CASE_010; DOC_001; WH_002</t>
        </is>
      </c>
      <c r="P51" s="2" t="inlineStr">
        <is>
          <t>如果我们想用历史执法案例评估‘在东南亚加工就能改变原产地并避开美国贸易救济措施’这一假设，现有证据支持什么判断？</t>
        </is>
      </c>
      <c r="Q51" s="2" t="inlineStr">
        <is>
          <t>Evidence ID: RELOC_005 Title: 欣旺达 Sunwoda：中国 → 东南亚转移（多地区混合布局） Publisher: 东方财富网 / 腾讯新闻 Country/Jurisdiction: CN/VN Publication date: 2024-07-16 Status: CURRENT Topic: 供应链布局 Applicability scope: GENERAL Related industries: 动力电池/消费电池 Claim: 2024-07-15 公告拟通过下属子公司香港欣威设立越南锂威有限公司，投建越南锂威</t>
        </is>
      </c>
    </row>
    <row r="52">
      <c r="A52" s="2" t="inlineStr">
        <is>
          <t>Q011</t>
        </is>
      </c>
      <c r="B52" s="2" t="n">
        <v>1</v>
      </c>
      <c r="C52" s="2" t="inlineStr">
        <is>
          <t>IMF_001</t>
        </is>
      </c>
      <c r="D52" s="2" t="inlineStr">
        <is>
          <t>World Economic Outlook, April 2023, Chapter 4: Geoeconomic Fragmentation and Foreign Direct Investment</t>
        </is>
      </c>
      <c r="E52" s="2" t="inlineStr">
        <is>
          <t>对外投资</t>
        </is>
      </c>
      <c r="F52" s="2" t="inlineStr">
        <is>
          <t>A+</t>
        </is>
      </c>
      <c r="G52" s="2" t="n">
        <v>2</v>
      </c>
      <c r="H52" s="2" t="n">
        <v>2</v>
      </c>
      <c r="I52" s="3" t="n">
        <v>2</v>
      </c>
      <c r="J52" s="3" t="n">
        <v>2</v>
      </c>
      <c r="K52" s="2" t="inlineStr">
        <is>
          <t>地缘经济碎片化框架，国际投资环境证据，直接</t>
        </is>
      </c>
      <c r="L52" s="2" t="inlineStr">
        <is>
          <t>国际货币基金组织（IMF）</t>
        </is>
      </c>
      <c r="M52" s="2" t="inlineStr">
        <is>
          <t>Policy / Trade Risk</t>
        </is>
      </c>
      <c r="N52" s="2" t="inlineStr">
        <is>
          <t>investment_policy</t>
        </is>
      </c>
      <c r="O52" s="2" t="inlineStr">
        <is>
          <t>CNGOV_001; IMF_001; UNCTAD_001</t>
        </is>
      </c>
      <c r="P52" s="2" t="inlineStr">
        <is>
          <t>一家中国制造企业计划新建海外工厂。2026年中国对外投资制度中有哪些官方规则、以及哪些国际投资环境证据，应纳入项目立项和合规评估？</t>
        </is>
      </c>
      <c r="Q52" s="2" t="inlineStr">
        <is>
          <t>Evidence ID: IMF_001 Title: World Economic Outlook, April 2023, Chapter 4: Geoeconomic Fragmentation and Foreign Direct Investment Publisher: 国际货币基金组织（IMF） Country/Jurisdiction: 全球 Publication date: 2023-04 Status: CURRENT Topic: 对外投资 Applicability scope: GENERAL Related industri</t>
        </is>
      </c>
    </row>
    <row r="53">
      <c r="A53" s="2" t="inlineStr">
        <is>
          <t>Q011</t>
        </is>
      </c>
      <c r="B53" s="2" t="n">
        <v>2</v>
      </c>
      <c r="C53" s="2" t="inlineStr">
        <is>
          <t>RETURN_001</t>
        </is>
      </c>
      <c r="D53" s="2" t="inlineStr">
        <is>
          <t>恩捷股份 Yunnan Energy New Material (Semcorp)：重新评估 / 回流中国（提高中国生产比例）</t>
        </is>
      </c>
      <c r="E53" s="2" t="inlineStr">
        <is>
          <t>供应链布局</t>
        </is>
      </c>
      <c r="F53" s="2" t="inlineStr">
        <is>
          <t>S</t>
        </is>
      </c>
      <c r="G53" s="2" t="n">
        <v>0</v>
      </c>
      <c r="H53" s="2" t="n">
        <v>2</v>
      </c>
      <c r="I53" s="3" t="n">
        <v>1</v>
      </c>
      <c r="J53" s="3" t="n">
        <v>2</v>
      </c>
      <c r="K53" s="2" t="inlineStr">
        <is>
          <t>企业终止海外项目案例，可作立项风险的实例参考，但非制度/环境证据 ｜ 人工判定与Auto(0)不同，请复核</t>
        </is>
      </c>
      <c r="L53" s="2" t="inlineStr">
        <is>
          <t>恩捷股份公告（经东方财富网 / 央广网报道）</t>
        </is>
      </c>
      <c r="M53" s="2" t="inlineStr">
        <is>
          <t>Policy / Trade Risk</t>
        </is>
      </c>
      <c r="N53" s="2" t="inlineStr">
        <is>
          <t>investment_policy</t>
        </is>
      </c>
      <c r="O53" s="2" t="inlineStr">
        <is>
          <t>CNGOV_001; IMF_001; UNCTAD_001</t>
        </is>
      </c>
      <c r="P53" s="2" t="inlineStr">
        <is>
          <t>一家中国制造企业计划新建海外工厂。2026年中国对外投资制度中有哪些官方规则、以及哪些国际投资环境证据，应纳入项目立项和合规评估？</t>
        </is>
      </c>
      <c r="Q53" s="2" t="inlineStr">
        <is>
          <t>## 一、决策前状态（Initial Situation） 生产布局：湿法锂电隔膜产能以中国为主（上海、珠海、无锡等），为全球隔膜龙头。 主要市场：中国 + 海外电池客户（含欧美）。 供应链结构：基膜与涂覆材料主要在中国生产，产品出口海外。 面临的问题：2024 年规划马来西亚隔膜项目（约 10 亿平方米/年、投资约 20 亿元）以求贴近海外客户并规避关税。 ## 二、决策触发（Decision Trigger） 触发类型：cost_change（成本变化） 触发细节：外部市场环境及行业竞争格局发生变化（隔膜价格下行、行业产能过剩、海外建厂成本高于预期）</t>
        </is>
      </c>
    </row>
    <row r="54">
      <c r="A54" s="2" t="inlineStr">
        <is>
          <t>Q011</t>
        </is>
      </c>
      <c r="B54" s="2" t="n">
        <v>3</v>
      </c>
      <c r="C54" s="2" t="inlineStr">
        <is>
          <t>CNGOV_001</t>
        </is>
      </c>
      <c r="D54" s="2" t="inlineStr">
        <is>
          <t>国务院关于对外投资的规定（国务院令第837号）</t>
        </is>
      </c>
      <c r="E54" s="2" t="inlineStr">
        <is>
          <t>对外投资</t>
        </is>
      </c>
      <c r="F54" s="2" t="inlineStr">
        <is>
          <t>S</t>
        </is>
      </c>
      <c r="G54" s="2" t="n">
        <v>2</v>
      </c>
      <c r="H54" s="2" t="n">
        <v>2</v>
      </c>
      <c r="I54" s="3" t="n">
        <v>2</v>
      </c>
      <c r="J54" s="3" t="n">
        <v>2</v>
      </c>
      <c r="K54" s="2" t="inlineStr">
        <is>
          <t>中国对外投资官方规则，直接</t>
        </is>
      </c>
      <c r="L54" s="2" t="inlineStr">
        <is>
          <t>中华人民共和国国务院</t>
        </is>
      </c>
      <c r="M54" s="2" t="inlineStr">
        <is>
          <t>Policy / Trade Risk</t>
        </is>
      </c>
      <c r="N54" s="2" t="inlineStr">
        <is>
          <t>investment_policy</t>
        </is>
      </c>
      <c r="O54" s="2" t="inlineStr">
        <is>
          <t>CNGOV_001; IMF_001; UNCTAD_001</t>
        </is>
      </c>
      <c r="P54" s="2" t="inlineStr">
        <is>
          <t>一家中国制造企业计划新建海外工厂。2026年中国对外投资制度中有哪些官方规则、以及哪些国际投资环境证据，应纳入项目立项和合规评估？</t>
        </is>
      </c>
      <c r="Q54" s="2" t="inlineStr">
        <is>
          <t>中华⼈⺠共和国国务院令中华⼈⺠共和国国务院令 第 837 号 《国务院关于对外投资的规定》已经2026年4⽉17⽇国务院第83次常务会议通过，现予公布，⾃2026年7⽉1⽇起施⾏。 总 理 李 强 2026年5⽉5⽇ 国务院关于对外投资的规定国务院关于对外投资的规定 第⼀条第⼀条 为了推进⾼⽔平对外开放，促进对外投资⾼质量发展，有效实施对外投资管理，保护投资者及其对外投资合法权益，维护国家主权、安全、发展利益，根据《中华⼈⺠共和国对外关系法》、《中华⼈⺠共和国对外贸易法》等法律，制定本规定。第⼆条第⼆条 中华⼈⺠共和国境内（以下简称中国境内）投资者对外投</t>
        </is>
      </c>
    </row>
    <row r="55">
      <c r="A55" s="2" t="inlineStr">
        <is>
          <t>Q011</t>
        </is>
      </c>
      <c r="B55" s="2" t="n">
        <v>4</v>
      </c>
      <c r="C55" s="2" t="inlineStr">
        <is>
          <t>RETURN_004</t>
        </is>
      </c>
      <c r="D55" s="2" t="inlineStr">
        <is>
          <t>蜂巢能源 SVOLT（欧洲业务）：重新评估 / 回流中国（维持现有海外布局（收缩新增））</t>
        </is>
      </c>
      <c r="E55" s="2" t="inlineStr">
        <is>
          <t>供应链布局</t>
        </is>
      </c>
      <c r="F55" s="2" t="inlineStr">
        <is>
          <t>B+</t>
        </is>
      </c>
      <c r="G55" s="2" t="n">
        <v>0</v>
      </c>
      <c r="H55" s="2" t="n">
        <v>1</v>
      </c>
      <c r="I55" s="3" t="n">
        <v>1</v>
      </c>
      <c r="J55" s="3" t="n">
        <v>1</v>
      </c>
      <c r="K55" s="2" t="inlineStr">
        <is>
          <t>企业终止欧洲业务，同为企业层面立项参考 ｜ 人工判定与Auto(0)不同，请复核</t>
        </is>
      </c>
      <c r="L55" s="2" t="inlineStr">
        <is>
          <t>36氪 / 财新网</t>
        </is>
      </c>
      <c r="M55" s="2" t="inlineStr">
        <is>
          <t>Policy / Trade Risk</t>
        </is>
      </c>
      <c r="N55" s="2" t="inlineStr">
        <is>
          <t>investment_policy</t>
        </is>
      </c>
      <c r="O55" s="2" t="inlineStr">
        <is>
          <t>CNGOV_001; IMF_001; UNCTAD_001</t>
        </is>
      </c>
      <c r="P55" s="2" t="inlineStr">
        <is>
          <t>一家中国制造企业计划新建海外工厂。2026年中国对外投资制度中有哪些官方规则、以及哪些国际投资环境证据，应纳入项目立项和合规评估？</t>
        </is>
      </c>
      <c r="Q55" s="2" t="inlineStr">
        <is>
          <t>Evidence ID: RETURN_004 Title: 蜂巢能源 SVOLT（欧洲业务）：重新评估 / 回流中国（维持现有海外布局（收缩新增）） Publisher: 36氪 / 财新网 Country/Jurisdiction: CN/DE Publication date: 2024-10-28 Status: CURRENT Topic: 供应链布局 Applicability scope: GENERAL Related industries: 动力电池 Claim: 2024-05 取消勃兰登堡州电芯超级工厂计划，2024-10 宣布停建</t>
        </is>
      </c>
    </row>
    <row r="56">
      <c r="A56" s="2" t="inlineStr">
        <is>
          <t>Q011</t>
        </is>
      </c>
      <c r="B56" s="2" t="n">
        <v>5</v>
      </c>
      <c r="C56" s="2" t="inlineStr">
        <is>
          <t>RELOC_004</t>
        </is>
      </c>
      <c r="D56" s="2" t="inlineStr">
        <is>
          <t>亿纬锂能 EVE Energy：中国 → 东南亚转移（多地区混合布局）</t>
        </is>
      </c>
      <c r="E56" s="2" t="inlineStr">
        <is>
          <t>供应链布局</t>
        </is>
      </c>
      <c r="F56" s="2" t="inlineStr">
        <is>
          <t>B+</t>
        </is>
      </c>
      <c r="G56" s="2" t="n">
        <v>0</v>
      </c>
      <c r="H56" s="2" t="n">
        <v>1</v>
      </c>
      <c r="I56" s="3" t="n">
        <v>1</v>
      </c>
      <c r="J56" s="3" t="n">
        <v>1</v>
      </c>
      <c r="K56" s="2" t="inlineStr">
        <is>
          <t>企业海外建厂案例，同为企业层面立项参考 ｜ 人工判定与Auto(0)不同，请复核</t>
        </is>
      </c>
      <c r="L56" s="2" t="inlineStr">
        <is>
          <t>新浪财经</t>
        </is>
      </c>
      <c r="M56" s="2" t="inlineStr">
        <is>
          <t>Policy / Trade Risk</t>
        </is>
      </c>
      <c r="N56" s="2" t="inlineStr">
        <is>
          <t>investment_policy</t>
        </is>
      </c>
      <c r="O56" s="2" t="inlineStr">
        <is>
          <t>CNGOV_001; IMF_001; UNCTAD_001</t>
        </is>
      </c>
      <c r="P56" s="2" t="inlineStr">
        <is>
          <t>一家中国制造企业计划新建海外工厂。2026年中国对外投资制度中有哪些官方规则、以及哪些国际投资环境证据，应纳入项目立项和合规评估？</t>
        </is>
      </c>
      <c r="Q56" s="2" t="inlineStr">
        <is>
          <t>## 二、决策触发（Decision Trigger） 触发类型：tariff_pressure（关税压力） 触发细节：对美出口关税与'去中国化'供应链要求，迫使企业在东南亚布局产能以规避税率。 ## 三、实际决策（Actual Decision） 决策分类：多地区混合布局 决策内容：在马来西亚吉打州居林县建设海外工厂，二期于 2026 年 2 月投产运营，建筑面积约 60 万平方米，系公司首个海外大型锂电厂房项目，形成年产约 6.8 亿只圆柱电池产能；同时推进匈牙利、美国、印尼项目，中国产能保留。 ## 四、相关风险（Related Risk） 风险类</t>
        </is>
      </c>
    </row>
    <row r="57">
      <c r="A57" s="2" t="inlineStr">
        <is>
          <t>Q012</t>
        </is>
      </c>
      <c r="B57" s="2" t="n">
        <v>1</v>
      </c>
      <c r="C57" s="2" t="inlineStr">
        <is>
          <t>WEF_001</t>
        </is>
      </c>
      <c r="D57" s="2" t="inlineStr">
        <is>
          <t>Global Risks Report 2026（全球风险报告2026，第21版）</t>
        </is>
      </c>
      <c r="E57" s="2" t="inlineStr">
        <is>
          <t>宏观风险</t>
        </is>
      </c>
      <c r="F57" s="2" t="inlineStr">
        <is>
          <t>A+</t>
        </is>
      </c>
      <c r="G57" s="2" t="n">
        <v>2</v>
      </c>
      <c r="H57" s="2" t="n">
        <v>2</v>
      </c>
      <c r="I57" s="3" t="n">
        <v>2</v>
      </c>
      <c r="J57" s="3" t="n">
        <v>2</v>
      </c>
      <c r="K57" s="2" t="inlineStr">
        <is>
          <t>地缘经济对抗列为首要风险，直接</t>
        </is>
      </c>
      <c r="L57" s="2" t="inlineStr">
        <is>
          <t>世界经济论坛（WEF）</t>
        </is>
      </c>
      <c r="M57" s="2" t="inlineStr">
        <is>
          <t>Policy / Trade Risk</t>
        </is>
      </c>
      <c r="N57" s="2" t="inlineStr">
        <is>
          <t>investment_policy</t>
        </is>
      </c>
      <c r="O57" s="2" t="inlineStr">
        <is>
          <t>IMF_001; MCK_001; UNCTAD_001; WEF_001</t>
        </is>
      </c>
      <c r="P57" s="2" t="inlineStr">
        <is>
          <t>管理层需要判断地缘经济碎片化是否会持续影响跨境投资决策。哪些国际组织证据可以支持这一政策/投资风险判断？</t>
        </is>
      </c>
      <c r="Q57" s="2" t="inlineStr">
        <is>
          <t>Evidence ID: WEF_001 Title: Global Risks Report 2026（全球风险报告2026，第21版） Publisher: 世界经济论坛（WEF） Country/Jurisdiction: 全球 Publication date: 2026-01-14 Status: CURRENT Topic: 宏观风险 Applicability scope: GENERAL Related industries: 通用 Key finding: 地缘经济对抗列为2026年首要风险。仅作PPT背景。</t>
        </is>
      </c>
    </row>
    <row r="58">
      <c r="A58" s="2" t="inlineStr">
        <is>
          <t>Q012</t>
        </is>
      </c>
      <c r="B58" s="2" t="n">
        <v>2</v>
      </c>
      <c r="C58" s="2" t="inlineStr">
        <is>
          <t>UNCTAD_001</t>
        </is>
      </c>
      <c r="D58" s="2" t="inlineStr">
        <is>
          <t>World Investment Report 2026: International Investment in a Turbulent Era</t>
        </is>
      </c>
      <c r="E58" s="2" t="inlineStr">
        <is>
          <t>对外投资</t>
        </is>
      </c>
      <c r="F58" s="2" t="inlineStr">
        <is>
          <t>A+</t>
        </is>
      </c>
      <c r="G58" s="2" t="n">
        <v>2</v>
      </c>
      <c r="H58" s="2" t="n">
        <v>2</v>
      </c>
      <c r="I58" s="3" t="n">
        <v>2</v>
      </c>
      <c r="J58" s="3" t="n">
        <v>2</v>
      </c>
      <c r="K58" s="2" t="inlineStr">
        <is>
          <t>动荡期FDI趋势，直接</t>
        </is>
      </c>
      <c r="L58" s="2" t="inlineStr">
        <is>
          <t>联合国贸易和发展会议（UNCTAD）</t>
        </is>
      </c>
      <c r="M58" s="2" t="inlineStr">
        <is>
          <t>Policy / Trade Risk</t>
        </is>
      </c>
      <c r="N58" s="2" t="inlineStr">
        <is>
          <t>investment_policy</t>
        </is>
      </c>
      <c r="O58" s="2" t="inlineStr">
        <is>
          <t>IMF_001; MCK_001; UNCTAD_001; WEF_001</t>
        </is>
      </c>
      <c r="P58" s="2" t="inlineStr">
        <is>
          <t>管理层需要判断地缘经济碎片化是否会持续影响跨境投资决策。哪些国际组织证据可以支持这一政策/投资风险判断？</t>
        </is>
      </c>
      <c r="Q58" s="2" t="inlineStr">
        <is>
          <t>China remained the fourth largest destination for FDI in 2025, with trends indicating a transition from rapid expansion to more selective and strategic investment. Source: UNCTAD, based on information from the Ministry of Commerce, People’s Republic of China. a. Xinyi Li, An open</t>
        </is>
      </c>
    </row>
    <row r="59">
      <c r="A59" s="2" t="inlineStr">
        <is>
          <t>Q012</t>
        </is>
      </c>
      <c r="B59" s="2" t="n">
        <v>3</v>
      </c>
      <c r="C59" s="2" t="inlineStr">
        <is>
          <t>CNGOV_001</t>
        </is>
      </c>
      <c r="D59" s="2" t="inlineStr">
        <is>
          <t>国务院关于对外投资的规定（国务院令第837号）</t>
        </is>
      </c>
      <c r="E59" s="2" t="inlineStr">
        <is>
          <t>对外投资</t>
        </is>
      </c>
      <c r="F59" s="2" t="inlineStr">
        <is>
          <t>S</t>
        </is>
      </c>
      <c r="G59" s="2" t="n">
        <v>1</v>
      </c>
      <c r="H59" s="2" t="n">
        <v>2</v>
      </c>
      <c r="I59" s="3" t="n">
        <v>1</v>
      </c>
      <c r="J59" s="3" t="n">
        <v>2</v>
      </c>
      <c r="K59" s="2" t="inlineStr">
        <is>
          <t>中国国内规定，非国际组织证据</t>
        </is>
      </c>
      <c r="L59" s="2" t="inlineStr">
        <is>
          <t>中华人民共和国国务院</t>
        </is>
      </c>
      <c r="M59" s="2" t="inlineStr">
        <is>
          <t>Policy / Trade Risk</t>
        </is>
      </c>
      <c r="N59" s="2" t="inlineStr">
        <is>
          <t>investment_policy</t>
        </is>
      </c>
      <c r="O59" s="2" t="inlineStr">
        <is>
          <t>IMF_001; MCK_001; UNCTAD_001; WEF_001</t>
        </is>
      </c>
      <c r="P59" s="2" t="inlineStr">
        <is>
          <t>管理层需要判断地缘经济碎片化是否会持续影响跨境投资决策。哪些国际组织证据可以支持这一政策/投资风险判断？</t>
        </is>
      </c>
      <c r="Q59" s="2" t="inlineStr">
        <is>
          <t>第六条第六条 国家健全海外综合服务体系，促进贸易投资⼀体化，完善公共平台与服务，统筹外事、法律、财税、⾦融、经贸、物流、出境⼊境、海关、贸促等领域服务资源，为投资者提供服务保障。 省级以上⼈⺠政府及其有关部⻔提升公共服务能⼒和⽔平，为投资者提供法律法规、政策措施、投资指南、知识产权、⻛险防范应对、权益保护等⽅⾯的公共产品和服务。 第七条第七条 ⽀持咨询评估、法律服务、会计审计、信⽤评级、调解仲裁、知识产权等专业服务机构拓展海外服务⽹络，提⾼国际化服务能⼒和⽔平，为投资者及其对外投资提供⾼质量专业服务。 有关专业服务机构应当遵循诚实守信、勤勉尽责、独⽴客观</t>
        </is>
      </c>
    </row>
    <row r="60">
      <c r="A60" s="2" t="inlineStr">
        <is>
          <t>Q012</t>
        </is>
      </c>
      <c r="B60" s="2" t="n">
        <v>4</v>
      </c>
      <c r="C60" s="2" t="inlineStr">
        <is>
          <t>RETURN_001</t>
        </is>
      </c>
      <c r="D60" s="2" t="inlineStr">
        <is>
          <t>恩捷股份 Yunnan Energy New Material (Semcorp)：重新评估 / 回流中国（提高中国生产比例）</t>
        </is>
      </c>
      <c r="E60" s="2" t="inlineStr">
        <is>
          <t>供应链布局</t>
        </is>
      </c>
      <c r="F60" s="2" t="inlineStr">
        <is>
          <t>S</t>
        </is>
      </c>
      <c r="G60" s="2" t="n">
        <v>0</v>
      </c>
      <c r="H60" s="2" t="n">
        <v>2</v>
      </c>
      <c r="I60" s="3" t="n">
        <v>0</v>
      </c>
      <c r="J60" s="3" t="n">
        <v>2</v>
      </c>
      <c r="K60" s="2" t="inlineStr">
        <is>
          <t>企业个案，与碎片化趋势判断无关</t>
        </is>
      </c>
      <c r="L60" s="2" t="inlineStr">
        <is>
          <t>恩捷股份公告（经东方财富网 / 央广网报道）</t>
        </is>
      </c>
      <c r="M60" s="2" t="inlineStr">
        <is>
          <t>Policy / Trade Risk</t>
        </is>
      </c>
      <c r="N60" s="2" t="inlineStr">
        <is>
          <t>investment_policy</t>
        </is>
      </c>
      <c r="O60" s="2" t="inlineStr">
        <is>
          <t>IMF_001; MCK_001; UNCTAD_001; WEF_001</t>
        </is>
      </c>
      <c r="P60" s="2" t="inlineStr">
        <is>
          <t>管理层需要判断地缘经济碎片化是否会持续影响跨境投资决策。哪些国际组织证据可以支持这一政策/投资风险判断？</t>
        </is>
      </c>
      <c r="Q60" s="2" t="inlineStr">
        <is>
          <t>Evidence ID: RETURN_001 Title: 恩捷股份 Yunnan Energy New Material (Semcorp)：重新评估 / 回流中国（提高中国生产比例） Publisher: 恩捷股份公告（经东方财富网 / 央广网报道） Country/Jurisdiction: CN/MY Publication date: 2026-05-22 Status: CURRENT Topic: 供应链布局 Applicability scope: GENERAL Related industries: 电池材料 Claim: 2026</t>
        </is>
      </c>
    </row>
    <row r="61">
      <c r="A61" s="2" t="inlineStr">
        <is>
          <t>Q012</t>
        </is>
      </c>
      <c r="B61" s="2" t="n">
        <v>5</v>
      </c>
      <c r="C61" s="2" t="inlineStr">
        <is>
          <t>RELOC_005</t>
        </is>
      </c>
      <c r="D61" s="2" t="inlineStr">
        <is>
          <t>欣旺达 Sunwoda：中国 → 东南亚转移（多地区混合布局）</t>
        </is>
      </c>
      <c r="E61" s="2" t="inlineStr">
        <is>
          <t>供应链布局</t>
        </is>
      </c>
      <c r="F61" s="2" t="inlineStr">
        <is>
          <t>B+</t>
        </is>
      </c>
      <c r="G61" s="2" t="n">
        <v>0</v>
      </c>
      <c r="H61" s="2" t="n">
        <v>1</v>
      </c>
      <c r="I61" s="3" t="n">
        <v>0</v>
      </c>
      <c r="J61" s="3" t="n">
        <v>1</v>
      </c>
      <c r="K61" s="2" t="inlineStr">
        <is>
          <t>企业建厂案例，与趋势判断无关</t>
        </is>
      </c>
      <c r="L61" s="2" t="inlineStr">
        <is>
          <t>东方财富网 / 腾讯新闻</t>
        </is>
      </c>
      <c r="M61" s="2" t="inlineStr">
        <is>
          <t>Policy / Trade Risk</t>
        </is>
      </c>
      <c r="N61" s="2" t="inlineStr">
        <is>
          <t>investment_policy</t>
        </is>
      </c>
      <c r="O61" s="2" t="inlineStr">
        <is>
          <t>IMF_001; MCK_001; UNCTAD_001; WEF_001</t>
        </is>
      </c>
      <c r="P61" s="2" t="inlineStr">
        <is>
          <t>管理层需要判断地缘经济碎片化是否会持续影响跨境投资决策。哪些国际组织证据可以支持这一政策/投资风险判断？</t>
        </is>
      </c>
      <c r="Q61" s="2" t="inlineStr">
        <is>
          <t>Evidence ID: RELOC_005 Title: 欣旺达 Sunwoda：中国 → 东南亚转移（多地区混合布局） Publisher: 东方财富网 / 腾讯新闻 Country/Jurisdiction: CN/VN Publication date: 2024-07-16 Status: CURRENT Topic: 供应链布局 Applicability scope: GENERAL Related industries: 动力电池/消费电池 Claim: 2024-07-15 公告拟通过下属子公司香港欣威设立越南锂威有限公司，投建越南锂威</t>
        </is>
      </c>
    </row>
    <row r="62">
      <c r="A62" s="2" t="inlineStr">
        <is>
          <t>Q013</t>
        </is>
      </c>
      <c r="B62" s="2" t="n">
        <v>1</v>
      </c>
      <c r="C62" s="2" t="inlineStr">
        <is>
          <t>UNCTAD_001</t>
        </is>
      </c>
      <c r="D62" s="2" t="inlineStr">
        <is>
          <t>World Investment Report 2026: International Investment in a Turbulent Era</t>
        </is>
      </c>
      <c r="E62" s="2" t="inlineStr">
        <is>
          <t>对外投资</t>
        </is>
      </c>
      <c r="F62" s="2" t="inlineStr">
        <is>
          <t>A+</t>
        </is>
      </c>
      <c r="G62" s="2" t="n">
        <v>2</v>
      </c>
      <c r="H62" s="2" t="n">
        <v>2</v>
      </c>
      <c r="I62" s="3" t="n">
        <v>2</v>
      </c>
      <c r="J62" s="3" t="n">
        <v>2</v>
      </c>
      <c r="K62" s="2" t="inlineStr">
        <is>
          <t>全球投资与地缘经济趋势，直接</t>
        </is>
      </c>
      <c r="L62" s="2" t="inlineStr">
        <is>
          <t>联合国贸易和发展会议（UNCTAD）</t>
        </is>
      </c>
      <c r="M62" s="2" t="inlineStr">
        <is>
          <t>Policy / Trade Risk</t>
        </is>
      </c>
      <c r="N62" s="2" t="inlineStr">
        <is>
          <t>trade_policy</t>
        </is>
      </c>
      <c r="O62" s="2" t="inlineStr">
        <is>
          <t>IMF_001; MCK_001; UNCTAD_001; WEF_001; WTO_001</t>
        </is>
      </c>
      <c r="P62" s="2" t="inlineStr">
        <is>
          <t>我们需要给董事会解释2026年全球贸易环境是否正在恶化，以及这种环境为什么会提高海外布局的不确定性。现有高权威证据有哪些？</t>
        </is>
      </c>
      <c r="Q62" s="2" t="inlineStr">
        <is>
          <t>Evidence ID: UNCTAD_001 Title: World Investment Report 2026: International Investment in a Turbulent Era Publisher: 联合国贸易和发展会议（UNCTAD） Country/Jurisdiction: 全球 Publication date: 2026-07-07 Status: CURRENT Topic: 对外投资 Applicability scope: GENERAL Related industries: 通用 Key finding</t>
        </is>
      </c>
    </row>
    <row r="63">
      <c r="A63" s="2" t="inlineStr">
        <is>
          <t>Q013</t>
        </is>
      </c>
      <c r="B63" s="2" t="n">
        <v>2</v>
      </c>
      <c r="C63" s="2" t="inlineStr">
        <is>
          <t>RETURN_004</t>
        </is>
      </c>
      <c r="D63" s="2" t="inlineStr">
        <is>
          <t>蜂巢能源 SVOLT（欧洲业务）：重新评估 / 回流中国（维持现有海外布局（收缩新增））</t>
        </is>
      </c>
      <c r="E63" s="2" t="inlineStr">
        <is>
          <t>供应链布局</t>
        </is>
      </c>
      <c r="F63" s="2" t="inlineStr">
        <is>
          <t>B+</t>
        </is>
      </c>
      <c r="G63" s="2" t="n">
        <v>1</v>
      </c>
      <c r="H63" s="2" t="n">
        <v>1</v>
      </c>
      <c r="I63" s="3" t="n">
        <v>1</v>
      </c>
      <c r="J63" s="3" t="n">
        <v>1</v>
      </c>
      <c r="K63" s="2" t="inlineStr">
        <is>
          <t>企业欧洲布局收缩，可作不确定性的具体例证，但非高权威全球证据</t>
        </is>
      </c>
      <c r="L63" s="2" t="inlineStr">
        <is>
          <t>36氪 / 财新网</t>
        </is>
      </c>
      <c r="M63" s="2" t="inlineStr">
        <is>
          <t>Policy / Trade Risk</t>
        </is>
      </c>
      <c r="N63" s="2" t="inlineStr">
        <is>
          <t>trade_policy</t>
        </is>
      </c>
      <c r="O63" s="2" t="inlineStr">
        <is>
          <t>IMF_001; MCK_001; UNCTAD_001; WEF_001; WTO_001</t>
        </is>
      </c>
      <c r="P63" s="2" t="inlineStr">
        <is>
          <t>我们需要给董事会解释2026年全球贸易环境是否正在恶化，以及这种环境为什么会提高海外布局的不确定性。现有高权威证据有哪些？</t>
        </is>
      </c>
      <c r="Q63" s="2" t="inlineStr">
        <is>
          <t>Evidence ID: RETURN_004 Title: 蜂巢能源 SVOLT（欧洲业务）：重新评估 / 回流中国（维持现有海外布局（收缩新增）） Publisher: 36氪 / 财新网 Country/Jurisdiction: CN/DE Publication date: 2024-10-28 Status: CURRENT Topic: 供应链布局 Applicability scope: GENERAL Related industries: 动力电池 Claim: 2024-05 取消勃兰登堡州电芯超级工厂计划，2024-10 宣布停建</t>
        </is>
      </c>
    </row>
    <row r="64">
      <c r="A64" s="2" t="inlineStr">
        <is>
          <t>Q013</t>
        </is>
      </c>
      <c r="B64" s="2" t="n">
        <v>3</v>
      </c>
      <c r="C64" s="2" t="inlineStr">
        <is>
          <t>IMF_001</t>
        </is>
      </c>
      <c r="D64" s="2" t="inlineStr">
        <is>
          <t>World Economic Outlook, April 2023, Chapter 4: Geoeconomic Fragmentation and Foreign Direct Investment</t>
        </is>
      </c>
      <c r="E64" s="2" t="inlineStr">
        <is>
          <t>对外投资</t>
        </is>
      </c>
      <c r="F64" s="2" t="inlineStr">
        <is>
          <t>A+</t>
        </is>
      </c>
      <c r="G64" s="2" t="n">
        <v>2</v>
      </c>
      <c r="H64" s="2" t="n">
        <v>2</v>
      </c>
      <c r="I64" s="3" t="n">
        <v>2</v>
      </c>
      <c r="J64" s="3" t="n">
        <v>2</v>
      </c>
      <c r="K64" s="2" t="inlineStr">
        <is>
          <t>FDI与地缘经济碎片化框架，直接</t>
        </is>
      </c>
      <c r="L64" s="2" t="inlineStr">
        <is>
          <t>国际货币基金组织（IMF）</t>
        </is>
      </c>
      <c r="M64" s="2" t="inlineStr">
        <is>
          <t>Policy / Trade Risk</t>
        </is>
      </c>
      <c r="N64" s="2" t="inlineStr">
        <is>
          <t>trade_policy</t>
        </is>
      </c>
      <c r="O64" s="2" t="inlineStr">
        <is>
          <t>IMF_001; MCK_001; UNCTAD_001; WEF_001; WTO_001</t>
        </is>
      </c>
      <c r="P64" s="2" t="inlineStr">
        <is>
          <t>我们需要给董事会解释2026年全球贸易环境是否正在恶化，以及这种环境为什么会提高海外布局的不确定性。现有高权威证据有哪些？</t>
        </is>
      </c>
      <c r="Q64" s="2" t="inlineStr">
        <is>
          <t>Evidence ID: IMF_001 Title: World Economic Outlook, April 2023, Chapter 4: Geoeconomic Fragmentation and Foreign Direct Investment Publisher: 国际货币基金组织（IMF） Country/Jurisdiction: 全球 Publication date: 2023-04 Status: CURRENT Topic: 对外投资 Applicability scope: GENERAL Related industri</t>
        </is>
      </c>
    </row>
    <row r="65">
      <c r="A65" s="2" t="inlineStr">
        <is>
          <t>Q013</t>
        </is>
      </c>
      <c r="B65" s="2" t="n">
        <v>4</v>
      </c>
      <c r="C65" s="2" t="inlineStr">
        <is>
          <t>RETURN_001</t>
        </is>
      </c>
      <c r="D65" s="2" t="inlineStr">
        <is>
          <t>恩捷股份 Yunnan Energy New Material (Semcorp)：重新评估 / 回流中国（提高中国生产比例）</t>
        </is>
      </c>
      <c r="E65" s="2" t="inlineStr">
        <is>
          <t>供应链布局</t>
        </is>
      </c>
      <c r="F65" s="2" t="inlineStr">
        <is>
          <t>S</t>
        </is>
      </c>
      <c r="G65" s="2" t="n">
        <v>1</v>
      </c>
      <c r="H65" s="2" t="n">
        <v>2</v>
      </c>
      <c r="I65" s="3" t="n">
        <v>1</v>
      </c>
      <c r="J65" s="3" t="n">
        <v>2</v>
      </c>
      <c r="K65" s="2" t="inlineStr">
        <is>
          <t>企业终止海外项目，同为例证，非宏观证据</t>
        </is>
      </c>
      <c r="L65" s="2" t="inlineStr">
        <is>
          <t>恩捷股份公告（经东方财富网 / 央广网报道）</t>
        </is>
      </c>
      <c r="M65" s="2" t="inlineStr">
        <is>
          <t>Policy / Trade Risk</t>
        </is>
      </c>
      <c r="N65" s="2" t="inlineStr">
        <is>
          <t>trade_policy</t>
        </is>
      </c>
      <c r="O65" s="2" t="inlineStr">
        <is>
          <t>IMF_001; MCK_001; UNCTAD_001; WEF_001; WTO_001</t>
        </is>
      </c>
      <c r="P65" s="2" t="inlineStr">
        <is>
          <t>我们需要给董事会解释2026年全球贸易环境是否正在恶化，以及这种环境为什么会提高海外布局的不确定性。现有高权威证据有哪些？</t>
        </is>
      </c>
      <c r="Q65" s="2" t="inlineStr">
        <is>
          <t>## 一、决策前状态（Initial Situation） 生产布局：湿法锂电隔膜产能以中国为主（上海、珠海、无锡等），为全球隔膜龙头。 主要市场：中国 + 海外电池客户（含欧美）。 供应链结构：基膜与涂覆材料主要在中国生产，产品出口海外。 面临的问题：2024 年规划马来西亚隔膜项目（约 10 亿平方米/年、投资约 20 亿元）以求贴近海外客户并规避关税。 ## 二、决策触发（Decision Trigger） 触发类型：cost_change（成本变化） 触发细节：外部市场环境及行业竞争格局发生变化（隔膜价格下行、行业产能过剩、海外建厂成本高于预期）</t>
        </is>
      </c>
    </row>
    <row r="66">
      <c r="A66" s="2" t="inlineStr">
        <is>
          <t>Q013</t>
        </is>
      </c>
      <c r="B66" s="2" t="n">
        <v>5</v>
      </c>
      <c r="C66" s="2" t="inlineStr">
        <is>
          <t>WTO_001</t>
        </is>
      </c>
      <c r="D66" s="2" t="inlineStr">
        <is>
          <t>Global Trade Outlook and Statistics（2026年3月版）</t>
        </is>
      </c>
      <c r="E66" s="2" t="inlineStr">
        <is>
          <t>贸易流</t>
        </is>
      </c>
      <c r="F66" s="2" t="inlineStr">
        <is>
          <t>A+</t>
        </is>
      </c>
      <c r="G66" s="2" t="n">
        <v>2</v>
      </c>
      <c r="H66" s="2" t="n">
        <v>2</v>
      </c>
      <c r="I66" s="3" t="n">
        <v>2</v>
      </c>
      <c r="J66" s="3" t="n">
        <v>2</v>
      </c>
      <c r="K66" s="2" t="inlineStr">
        <is>
          <t>货物贸易增速放缓，直接</t>
        </is>
      </c>
      <c r="L66" s="2" t="inlineStr">
        <is>
          <t>世界贸易组织（WTO）</t>
        </is>
      </c>
      <c r="M66" s="2" t="inlineStr">
        <is>
          <t>Policy / Trade Risk</t>
        </is>
      </c>
      <c r="N66" s="2" t="inlineStr">
        <is>
          <t>trade_policy</t>
        </is>
      </c>
      <c r="O66" s="2" t="inlineStr">
        <is>
          <t>IMF_001; MCK_001; UNCTAD_001; WEF_001; WTO_001</t>
        </is>
      </c>
      <c r="P66" s="2" t="inlineStr">
        <is>
          <t>我们需要给董事会解释2026年全球贸易环境是否正在恶化，以及这种环境为什么会提高海外布局的不确定性。现有高权威证据有哪些？</t>
        </is>
      </c>
      <c r="Q66" s="2" t="inlineStr">
        <is>
          <t>Evidence ID: WTO_001 Title: Global Trade Outlook and Statistics（2026年3月版） Publisher: 世界贸易组织（WTO） Country/Jurisdiction: 全球 Publication date: 2026-03 Status: CURRENT Topic: 贸易流 Applicability scope: GENERAL Related industries: 通用 Key finding: 基准情景下2026年货物贸易量增速由2025年的4.6%放缓至1.9%。 Glo</t>
        </is>
      </c>
    </row>
    <row r="67">
      <c r="A67" s="2" t="inlineStr">
        <is>
          <t>Q014</t>
        </is>
      </c>
      <c r="B67" s="2" t="n">
        <v>1</v>
      </c>
      <c r="C67" s="2" t="inlineStr">
        <is>
          <t>ITA_001</t>
        </is>
      </c>
      <c r="D67" s="2" t="inlineStr">
        <is>
          <t>Consolidated Screening List API（美国合并筛查清单）</t>
        </is>
      </c>
      <c r="E67" s="2" t="inlineStr">
        <is>
          <t>出口管制</t>
        </is>
      </c>
      <c r="F67" s="2" t="inlineStr">
        <is>
          <t>S</t>
        </is>
      </c>
      <c r="G67" s="2" t="n">
        <v>2</v>
      </c>
      <c r="H67" s="2" t="n">
        <v>2</v>
      </c>
      <c r="I67" s="3" t="n">
        <v>2</v>
      </c>
      <c r="J67" s="3" t="n">
        <v>2</v>
      </c>
      <c r="K67" s="2" t="inlineStr">
        <is>
          <t>合并筛查清单，直接回答筛查数据源</t>
        </is>
      </c>
      <c r="L67" s="2" t="inlineStr">
        <is>
          <t>美国国际贸易管理局（ITA）</t>
        </is>
      </c>
      <c r="M67" s="2" t="inlineStr">
        <is>
          <t>Policy / Trade Risk</t>
        </is>
      </c>
      <c r="N67" s="2" t="inlineStr">
        <is>
          <t>export_control</t>
        </is>
      </c>
      <c r="O67" s="2" t="inlineStr">
        <is>
          <t>BIS_001; BIS_002; CASE_009; ITA_001</t>
        </is>
      </c>
      <c r="P67" s="2" t="inlineStr">
        <is>
          <t>合规团队要建立美国受限方筛查流程。现有证据库中哪个官方数据源最适合用于企业/客户名称筛查？同时应关注哪些出口管制规则？</t>
        </is>
      </c>
      <c r="Q67" s="2" t="inlineStr">
        <is>
          <t>Evidence ID: ITA_001 Title: Consolidated Screening List API（美国合并筛查清单） Publisher: 美国国际贸易管理局（ITA） Country/Jurisdiction: US / Federal Publication date: 持续更新（每日） Status: CURRENT Topic: 出口管制 Applicability scope: GENERAL Related industries: 通用 Key finding: 合并商务部、国务院、财政部11份清单；支持模糊名称搜索。</t>
        </is>
      </c>
    </row>
    <row r="68">
      <c r="A68" s="2" t="inlineStr">
        <is>
          <t>Q014</t>
        </is>
      </c>
      <c r="B68" s="2" t="n">
        <v>2</v>
      </c>
      <c r="C68" s="2" t="inlineStr">
        <is>
          <t>CASE_009</t>
        </is>
      </c>
      <c r="D68" s="2" t="inlineStr">
        <is>
          <t>BIS 50%穿透规则：发布→暂停→2026-11-10恢复的完整时间线</t>
        </is>
      </c>
      <c r="E68" s="2" t="inlineStr">
        <is>
          <t>出口管制</t>
        </is>
      </c>
      <c r="F68" s="2" t="inlineStr">
        <is>
          <t>S</t>
        </is>
      </c>
      <c r="G68" s="2" t="n">
        <v>2</v>
      </c>
      <c r="H68" s="2" t="n">
        <v>2</v>
      </c>
      <c r="I68" s="3" t="n">
        <v>2</v>
      </c>
      <c r="J68" s="3" t="n">
        <v>2</v>
      </c>
      <c r="K68" s="2" t="inlineStr">
        <is>
          <t>规则时间线，直接回答应关注的规则</t>
        </is>
      </c>
      <c r="L68" s="2" t="inlineStr">
        <is>
          <t>美国商务部工业与安全局（BIS）</t>
        </is>
      </c>
      <c r="M68" s="2" t="inlineStr">
        <is>
          <t>Policy / Trade Risk</t>
        </is>
      </c>
      <c r="N68" s="2" t="inlineStr">
        <is>
          <t>export_control</t>
        </is>
      </c>
      <c r="O68" s="2" t="inlineStr">
        <is>
          <t>BIS_001; BIS_002; CASE_009; ITA_001</t>
        </is>
      </c>
      <c r="P68" s="2" t="inlineStr">
        <is>
          <t>合规团队要建立美国受限方筛查流程。现有证据库中哪个官方数据源最适合用于企业/客户名称筛查？同时应关注哪些出口管制规则？</t>
        </is>
      </c>
      <c r="Q68" s="2"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row>
    <row r="69">
      <c r="A69" s="2" t="inlineStr">
        <is>
          <t>Q014</t>
        </is>
      </c>
      <c r="B69" s="2" t="n">
        <v>3</v>
      </c>
      <c r="C69" s="2" t="inlineStr">
        <is>
          <t>BIS_002</t>
        </is>
      </c>
      <c r="D69" s="2" t="inlineStr">
        <is>
          <t>One Year Suspension of Expansion of End-User Controls for Affiliates of Certain Listed Entities（关联企业规则暂停一年）</t>
        </is>
      </c>
      <c r="E69" s="2" t="inlineStr">
        <is>
          <t>出口管制</t>
        </is>
      </c>
      <c r="F69" s="2" t="inlineStr">
        <is>
          <t>S</t>
        </is>
      </c>
      <c r="G69" s="2" t="n">
        <v>2</v>
      </c>
      <c r="H69" s="2" t="n">
        <v>2</v>
      </c>
      <c r="I69" s="3" t="n">
        <v>2</v>
      </c>
      <c r="J69" s="3" t="n">
        <v>2</v>
      </c>
      <c r="K69" s="2" t="inlineStr">
        <is>
          <t>暂停令，直接</t>
        </is>
      </c>
      <c r="L69" s="2" t="inlineStr">
        <is>
          <t>美国商务部工业与安全局（BIS）</t>
        </is>
      </c>
      <c r="M69" s="2" t="inlineStr">
        <is>
          <t>Policy / Trade Risk</t>
        </is>
      </c>
      <c r="N69" s="2" t="inlineStr">
        <is>
          <t>export_control</t>
        </is>
      </c>
      <c r="O69" s="2" t="inlineStr">
        <is>
          <t>BIS_001; BIS_002; CASE_009; ITA_001</t>
        </is>
      </c>
      <c r="P69" s="2" t="inlineStr">
        <is>
          <t>合规团队要建立美国受限方筛查流程。现有证据库中哪个官方数据源最适合用于企业/客户名称筛查？同时应关注哪些出口管制规则？</t>
        </is>
      </c>
      <c r="Q69" s="2"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row>
    <row r="70">
      <c r="A70" s="2" t="inlineStr">
        <is>
          <t>Q014</t>
        </is>
      </c>
      <c r="B70" s="2" t="n">
        <v>4</v>
      </c>
      <c r="C70" s="2" t="inlineStr">
        <is>
          <t>BIS_001</t>
        </is>
      </c>
      <c r="D70" s="2" t="inlineStr">
        <is>
          <t>Expansion of End-User Controls to Cover Affiliates of Certain Listed Entities（关联企业规则 / 50%穿透规则，临时最终规则）</t>
        </is>
      </c>
      <c r="E70" s="2" t="inlineStr">
        <is>
          <t>出口管制</t>
        </is>
      </c>
      <c r="F70" s="2" t="inlineStr">
        <is>
          <t>S</t>
        </is>
      </c>
      <c r="G70" s="2" t="n">
        <v>2</v>
      </c>
      <c r="H70" s="2" t="n">
        <v>2</v>
      </c>
      <c r="I70" s="3" t="n">
        <v>2</v>
      </c>
      <c r="J70" s="3" t="n">
        <v>2</v>
      </c>
      <c r="K70" s="2" t="inlineStr">
        <is>
          <t>50%穿透规则，直接</t>
        </is>
      </c>
      <c r="L70" s="2" t="inlineStr">
        <is>
          <t>美国商务部工业与安全局（BIS）</t>
        </is>
      </c>
      <c r="M70" s="2" t="inlineStr">
        <is>
          <t>Policy / Trade Risk</t>
        </is>
      </c>
      <c r="N70" s="2" t="inlineStr">
        <is>
          <t>export_control</t>
        </is>
      </c>
      <c r="O70" s="2" t="inlineStr">
        <is>
          <t>BIS_001; BIS_002; CASE_009; ITA_001</t>
        </is>
      </c>
      <c r="P70" s="2" t="inlineStr">
        <is>
          <t>合规团队要建立美国受限方筛查流程。现有证据库中哪个官方数据源最适合用于企业/客户名称筛查？同时应关注哪些出口管制规则？</t>
        </is>
      </c>
      <c r="Q70" s="2" t="inlineStr">
        <is>
          <t>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t>
        </is>
      </c>
    </row>
    <row r="71">
      <c r="A71" s="2" t="inlineStr">
        <is>
          <t>Q014</t>
        </is>
      </c>
      <c r="B71" s="2" t="n">
        <v>5</v>
      </c>
      <c r="C71" s="2" t="inlineStr">
        <is>
          <t>FR_001</t>
        </is>
      </c>
      <c r="D71" s="2" t="inlineStr">
        <is>
          <t>Federal Register API（美国联邦公报）</t>
        </is>
      </c>
      <c r="E71" s="2" t="inlineStr">
        <is>
          <t>出口管制/关税</t>
        </is>
      </c>
      <c r="F71" s="2" t="inlineStr">
        <is>
          <t>S</t>
        </is>
      </c>
      <c r="G71" s="2" t="n">
        <v>1</v>
      </c>
      <c r="H71" s="2" t="n">
        <v>2</v>
      </c>
      <c r="I71" s="3" t="n">
        <v>1</v>
      </c>
      <c r="J71" s="3" t="n">
        <v>2</v>
      </c>
      <c r="K71" s="2" t="inlineStr">
        <is>
          <t>新规监测入口，非名称筛查数据源</t>
        </is>
      </c>
      <c r="L71" s="2" t="inlineStr">
        <is>
          <t>美国国家档案馆联邦公报办公室</t>
        </is>
      </c>
      <c r="M71" s="2" t="inlineStr">
        <is>
          <t>Policy / Trade Risk</t>
        </is>
      </c>
      <c r="N71" s="2" t="inlineStr">
        <is>
          <t>export_control</t>
        </is>
      </c>
      <c r="O71" s="2" t="inlineStr">
        <is>
          <t>BIS_001; BIS_002; CASE_009; ITA_001</t>
        </is>
      </c>
      <c r="P71" s="2" t="inlineStr">
        <is>
          <t>合规团队要建立美国受限方筛查流程。现有证据库中哪个官方数据源最适合用于企业/客户名称筛查？同时应关注哪些出口管制规则？</t>
        </is>
      </c>
      <c r="Q71" s="2" t="inlineStr">
        <is>
          <t>Evidence ID: FR_001 Title: Federal Register API（美国联邦公报） Publisher: 美国国家档案馆联邦公报办公室 Country/Jurisdiction: US / Federal Publication date: 持续更新（每日） Status: CURRENT Topic: 出口管制/关税 Applicability scope: GENERAL Related industries: 通用 Key finding: 免费，无需key；按机构（BIS/USTR/CBP）过滤。 Bulk datab</t>
        </is>
      </c>
    </row>
    <row r="72">
      <c r="A72" s="2" t="inlineStr">
        <is>
          <t>Q015</t>
        </is>
      </c>
      <c r="B72" s="2" t="n">
        <v>1</v>
      </c>
      <c r="C72" s="2" t="inlineStr">
        <is>
          <t>FR_001</t>
        </is>
      </c>
      <c r="D72" s="2" t="inlineStr">
        <is>
          <t>Federal Register API（美国联邦公报）</t>
        </is>
      </c>
      <c r="E72" s="2" t="inlineStr">
        <is>
          <t>出口管制/关税</t>
        </is>
      </c>
      <c r="F72" s="2" t="inlineStr">
        <is>
          <t>S</t>
        </is>
      </c>
      <c r="G72" s="2" t="n">
        <v>2</v>
      </c>
      <c r="H72" s="2" t="n">
        <v>2</v>
      </c>
      <c r="I72" s="3" t="n">
        <v>2</v>
      </c>
      <c r="J72" s="3" t="n">
        <v>2</v>
      </c>
      <c r="K72" s="2" t="inlineStr">
        <is>
          <t>新规监测入口，直接</t>
        </is>
      </c>
      <c r="L72" s="2" t="inlineStr">
        <is>
          <t>美国国家档案馆联邦公报办公室</t>
        </is>
      </c>
      <c r="M72" s="2" t="inlineStr">
        <is>
          <t>Policy / Trade Risk</t>
        </is>
      </c>
      <c r="N72" s="2" t="inlineStr">
        <is>
          <t>regulation</t>
        </is>
      </c>
      <c r="O72" s="2" t="inlineStr">
        <is>
          <t>FR_001; ITA_001</t>
        </is>
      </c>
      <c r="P72"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Q72" s="2" t="inlineStr">
        <is>
          <t>Evidence ID: FR_001 Title: Federal Register API（美国联邦公报） Publisher: 美国国家档案馆联邦公报办公室 Country/Jurisdiction: US / Federal Publication date: 持续更新（每日） Status: CURRENT Topic: 出口管制/关税 Applicability scope: GENERAL Related industries: 通用 Key finding: 免费，无需key；按机构（BIS/USTR/CBP）过滤。 Bulk datab</t>
        </is>
      </c>
    </row>
    <row r="73">
      <c r="A73" s="2" t="inlineStr">
        <is>
          <t>Q015</t>
        </is>
      </c>
      <c r="B73" s="2" t="n">
        <v>2</v>
      </c>
      <c r="C73" s="2" t="inlineStr">
        <is>
          <t>ITA_001</t>
        </is>
      </c>
      <c r="D73" s="2" t="inlineStr">
        <is>
          <t>Consolidated Screening List API（美国合并筛查清单）</t>
        </is>
      </c>
      <c r="E73" s="2" t="inlineStr">
        <is>
          <t>出口管制</t>
        </is>
      </c>
      <c r="F73" s="2" t="inlineStr">
        <is>
          <t>S</t>
        </is>
      </c>
      <c r="G73" s="2" t="n">
        <v>2</v>
      </c>
      <c r="H73" s="2" t="n">
        <v>2</v>
      </c>
      <c r="I73" s="3" t="n">
        <v>2</v>
      </c>
      <c r="J73" s="3" t="n">
        <v>2</v>
      </c>
      <c r="K73" s="2" t="inlineStr">
        <is>
          <t>受限方筛查入口，直接</t>
        </is>
      </c>
      <c r="L73" s="2" t="inlineStr">
        <is>
          <t>美国国际贸易管理局（ITA）</t>
        </is>
      </c>
      <c r="M73" s="2" t="inlineStr">
        <is>
          <t>Policy / Trade Risk</t>
        </is>
      </c>
      <c r="N73" s="2" t="inlineStr">
        <is>
          <t>regulation</t>
        </is>
      </c>
      <c r="O73" s="2" t="inlineStr">
        <is>
          <t>FR_001; ITA_001</t>
        </is>
      </c>
      <c r="P73"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Q73" s="2" t="inlineStr">
        <is>
          <t>Evidence ID: ITA_001 Title: Consolidated Screening List API（美国合并筛查清单） Publisher: 美国国际贸易管理局（ITA） Country/Jurisdiction: US / Federal Publication date: 持续更新（每日） Status: CURRENT Topic: 出口管制 Applicability scope: GENERAL Related industries: 通用 Key finding: 合并商务部、国务院、财政部11份清单；支持模糊名称搜索。</t>
        </is>
      </c>
    </row>
    <row r="74">
      <c r="A74" s="2" t="inlineStr">
        <is>
          <t>Q015</t>
        </is>
      </c>
      <c r="B74" s="2" t="n">
        <v>3</v>
      </c>
      <c r="C74" s="2" t="inlineStr">
        <is>
          <t>CASE_009</t>
        </is>
      </c>
      <c r="D74" s="2" t="inlineStr">
        <is>
          <t>BIS 50%穿透规则：发布→暂停→2026-11-10恢复的完整时间线</t>
        </is>
      </c>
      <c r="E74" s="2" t="inlineStr">
        <is>
          <t>出口管制</t>
        </is>
      </c>
      <c r="F74" s="2" t="inlineStr">
        <is>
          <t>S</t>
        </is>
      </c>
      <c r="G74" s="2" t="n">
        <v>1</v>
      </c>
      <c r="H74" s="2" t="n">
        <v>2</v>
      </c>
      <c r="I74" s="3" t="n">
        <v>1</v>
      </c>
      <c r="J74" s="3" t="n">
        <v>2</v>
      </c>
      <c r="K74" s="2" t="inlineStr">
        <is>
          <t>规则内容，非入口</t>
        </is>
      </c>
      <c r="L74" s="2" t="inlineStr">
        <is>
          <t>美国商务部工业与安全局（BIS）</t>
        </is>
      </c>
      <c r="M74" s="2" t="inlineStr">
        <is>
          <t>Policy / Trade Risk</t>
        </is>
      </c>
      <c r="N74" s="2" t="inlineStr">
        <is>
          <t>regulation</t>
        </is>
      </c>
      <c r="O74" s="2" t="inlineStr">
        <is>
          <t>FR_001; ITA_001</t>
        </is>
      </c>
      <c r="P74"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Q74" s="2"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row>
    <row r="75">
      <c r="A75" s="2" t="inlineStr">
        <is>
          <t>Q015</t>
        </is>
      </c>
      <c r="B75" s="2" t="n">
        <v>4</v>
      </c>
      <c r="C75" s="2" t="inlineStr">
        <is>
          <t>BIS_002</t>
        </is>
      </c>
      <c r="D75" s="2" t="inlineStr">
        <is>
          <t>One Year Suspension of Expansion of End-User Controls for Affiliates of Certain Listed Entities（关联企业规则暂停一年）</t>
        </is>
      </c>
      <c r="E75" s="2" t="inlineStr">
        <is>
          <t>出口管制</t>
        </is>
      </c>
      <c r="F75" s="2" t="inlineStr">
        <is>
          <t>S</t>
        </is>
      </c>
      <c r="G75" s="2" t="n">
        <v>1</v>
      </c>
      <c r="H75" s="2" t="n">
        <v>2</v>
      </c>
      <c r="I75" s="3" t="n">
        <v>1</v>
      </c>
      <c r="J75" s="3" t="n">
        <v>2</v>
      </c>
      <c r="K75" s="2" t="inlineStr">
        <is>
          <t>规则内容，非入口</t>
        </is>
      </c>
      <c r="L75" s="2" t="inlineStr">
        <is>
          <t>美国商务部工业与安全局（BIS）</t>
        </is>
      </c>
      <c r="M75" s="2" t="inlineStr">
        <is>
          <t>Policy / Trade Risk</t>
        </is>
      </c>
      <c r="N75" s="2" t="inlineStr">
        <is>
          <t>regulation</t>
        </is>
      </c>
      <c r="O75" s="2" t="inlineStr">
        <is>
          <t>FR_001; ITA_001</t>
        </is>
      </c>
      <c r="P75"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Q75" s="2"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row>
    <row r="76">
      <c r="A76" s="2" t="inlineStr">
        <is>
          <t>Q015</t>
        </is>
      </c>
      <c r="B76" s="2" t="n">
        <v>5</v>
      </c>
      <c r="C76" s="2" t="inlineStr">
        <is>
          <t>BIS_001</t>
        </is>
      </c>
      <c r="D76" s="2" t="inlineStr">
        <is>
          <t>Expansion of End-User Controls to Cover Affiliates of Certain Listed Entities（关联企业规则 / 50%穿透规则，临时最终规则）</t>
        </is>
      </c>
      <c r="E76" s="2" t="inlineStr">
        <is>
          <t>出口管制</t>
        </is>
      </c>
      <c r="F76" s="2" t="inlineStr">
        <is>
          <t>S</t>
        </is>
      </c>
      <c r="G76" s="2" t="n">
        <v>1</v>
      </c>
      <c r="H76" s="2" t="n">
        <v>2</v>
      </c>
      <c r="I76" s="3" t="n">
        <v>1</v>
      </c>
      <c r="J76" s="3" t="n">
        <v>2</v>
      </c>
      <c r="K76" s="2" t="inlineStr">
        <is>
          <t>规则内容，非入口</t>
        </is>
      </c>
      <c r="L76" s="2" t="inlineStr">
        <is>
          <t>美国商务部工业与安全局（BIS）</t>
        </is>
      </c>
      <c r="M76" s="2" t="inlineStr">
        <is>
          <t>Policy / Trade Risk</t>
        </is>
      </c>
      <c r="N76" s="2" t="inlineStr">
        <is>
          <t>regulation</t>
        </is>
      </c>
      <c r="O76" s="2" t="inlineStr">
        <is>
          <t>FR_001; ITA_001</t>
        </is>
      </c>
      <c r="P76"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Q76" s="2" t="inlineStr">
        <is>
          <t>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t>
        </is>
      </c>
    </row>
    <row r="77">
      <c r="A77" s="2" t="inlineStr">
        <is>
          <t>Q016</t>
        </is>
      </c>
      <c r="B77" s="2" t="n">
        <v>1</v>
      </c>
      <c r="C77" s="2" t="inlineStr">
        <is>
          <t>TRD_001</t>
        </is>
      </c>
      <c r="D77" s="2" t="inlineStr">
        <is>
          <t>美国自中国、越南、泰国、马来西亚进口 HS 870380, 850760，2018–2025年度</t>
        </is>
      </c>
      <c r="E77" s="2" t="inlineStr">
        <is>
          <t>贸易流</t>
        </is>
      </c>
      <c r="F77" s="2" t="inlineStr">
        <is>
          <t>A+</t>
        </is>
      </c>
      <c r="G77" s="2" t="n">
        <v>2</v>
      </c>
      <c r="H77" s="2" t="n">
        <v>2</v>
      </c>
      <c r="I77" s="3" t="n">
        <v>2</v>
      </c>
      <c r="J77" s="3" t="n">
        <v>2</v>
      </c>
      <c r="K77" s="2" t="inlineStr">
        <is>
          <t>美国自中/越/泰/马进口EV电池类，直接</t>
        </is>
      </c>
      <c r="L77" s="2" t="inlineStr">
        <is>
          <t>联合国商品贸易统计数据库（UN Comtrade）</t>
        </is>
      </c>
      <c r="M77" s="2" t="inlineStr">
        <is>
          <t>Supply Chain Risk</t>
        </is>
      </c>
      <c r="N77" s="2" t="inlineStr">
        <is>
          <t>supply_chain</t>
        </is>
      </c>
      <c r="O77" s="2" t="inlineStr">
        <is>
          <t>CASE_010; TRD_001; TRD_003</t>
        </is>
      </c>
      <c r="P77" s="2" t="inlineStr">
        <is>
          <t>我们要判断美国EV/电池进口是否正在从中国向越南、泰国、马来西亚转移。现有哪组贸易数据与政策证据最直接支持这个供应链迁移分析？</t>
        </is>
      </c>
      <c r="Q77" s="2" t="inlineStr">
        <is>
          <t>Evidence ID: TRD_001 Title: 美国自中国、越南、泰国、马来西亚进口 HS 870380, 850760，2018–2025年度 Publisher: 联合国商品贸易统计数据库（UN Comtrade） Country/Jurisdiction: US / Federal Publication date: 持续更新 Status: CURRENT Topic: 贸易流 Applicability scope: GENERAL Related industries: ◆电子/光电 Key finding: HS 851762仅为光</t>
        </is>
      </c>
    </row>
    <row r="78">
      <c r="A78" s="2" t="inlineStr">
        <is>
          <t>Q016</t>
        </is>
      </c>
      <c r="B78" s="2" t="n">
        <v>2</v>
      </c>
      <c r="C78" s="2" t="inlineStr">
        <is>
          <t>RELOC_006</t>
        </is>
      </c>
      <c r="D78" s="2" t="inlineStr">
        <is>
          <t>蜂巢能源 SVOLT：中国 → 东南亚转移（多地区混合布局）</t>
        </is>
      </c>
      <c r="E78" s="2" t="inlineStr">
        <is>
          <t>供应链布局</t>
        </is>
      </c>
      <c r="F78" s="2" t="inlineStr">
        <is>
          <t>B+</t>
        </is>
      </c>
      <c r="G78" s="2" t="n">
        <v>1</v>
      </c>
      <c r="H78" s="2" t="n">
        <v>1</v>
      </c>
      <c r="I78" s="3" t="n">
        <v>1</v>
      </c>
      <c r="J78" s="3" t="n">
        <v>1</v>
      </c>
      <c r="K78" s="2" t="inlineStr">
        <is>
          <t>泰国电池厂案例，佐证产能转移，非贸易数据</t>
        </is>
      </c>
      <c r="L78" s="2" t="inlineStr">
        <is>
          <t>澎湃新闻</t>
        </is>
      </c>
      <c r="M78" s="2" t="inlineStr">
        <is>
          <t>Supply Chain Risk</t>
        </is>
      </c>
      <c r="N78" s="2" t="inlineStr">
        <is>
          <t>supply_chain</t>
        </is>
      </c>
      <c r="O78" s="2" t="inlineStr">
        <is>
          <t>CASE_010; TRD_001; TRD_003</t>
        </is>
      </c>
      <c r="P78" s="2" t="inlineStr">
        <is>
          <t>我们要判断美国EV/电池进口是否正在从中国向越南、泰国、马来西亚转移。现有哪组贸易数据与政策证据最直接支持这个供应链迁移分析？</t>
        </is>
      </c>
      <c r="Q78" s="2" t="inlineStr">
        <is>
          <t>Evidence ID: RELOC_006 Title: 蜂巢能源 SVOLT：中国 → 东南亚转移（多地区混合布局） Publisher: 澎湃新闻 Country/Jurisdiction: CN/TH Publication date: 2024-02-28 Status: CURRENT Topic: 供应链布局 Applicability scope: GENERAL Related industries: 动力电池 Claim: 在泰国春武里府是拉差市建设电池工厂（模组 PACK + 电芯），2024-02-28 正式投产并批量交付，配套长</t>
        </is>
      </c>
    </row>
    <row r="79">
      <c r="A79" s="2" t="inlineStr">
        <is>
          <t>Q016</t>
        </is>
      </c>
      <c r="B79" s="2" t="n">
        <v>3</v>
      </c>
      <c r="C79" s="2" t="inlineStr">
        <is>
          <t>RELOC_003</t>
        </is>
      </c>
      <c r="D79" s="2" t="inlineStr">
        <is>
          <t>国轩高科 Gotion High-Tech：中国 → 东南亚转移（多地区混合布局）</t>
        </is>
      </c>
      <c r="E79" s="2" t="inlineStr">
        <is>
          <t>供应链布局</t>
        </is>
      </c>
      <c r="F79" s="2" t="inlineStr">
        <is>
          <t>B+</t>
        </is>
      </c>
      <c r="G79" s="2" t="n">
        <v>1</v>
      </c>
      <c r="H79" s="2" t="n">
        <v>1</v>
      </c>
      <c r="I79" s="3" t="n">
        <v>1</v>
      </c>
      <c r="J79" s="3" t="n">
        <v>1</v>
      </c>
      <c r="K79" s="2" t="inlineStr">
        <is>
          <t>越南电池厂案例，佐证产能转移</t>
        </is>
      </c>
      <c r="L79" s="2" t="inlineStr">
        <is>
          <t>澎湃新闻 / 盖世汽车社区</t>
        </is>
      </c>
      <c r="M79" s="2" t="inlineStr">
        <is>
          <t>Supply Chain Risk</t>
        </is>
      </c>
      <c r="N79" s="2" t="inlineStr">
        <is>
          <t>supply_chain</t>
        </is>
      </c>
      <c r="O79" s="2" t="inlineStr">
        <is>
          <t>CASE_010; TRD_001; TRD_003</t>
        </is>
      </c>
      <c r="P79" s="2" t="inlineStr">
        <is>
          <t>我们要判断美国EV/电池进口是否正在从中国向越南、泰国、马来西亚转移。现有哪组贸易数据与政策证据最直接支持这个供应链迁移分析？</t>
        </is>
      </c>
      <c r="Q79" s="2" t="inlineStr">
        <is>
          <t>## 一、决策前状态（Initial Situation） 生产布局：电芯产能集中于中国（合肥、庐江、南京等基地），海外仅有销售与研发。 主要市场：中国动力电池市场为主，海外客户（大众等）快速增加。 供应链结构：正极、负极、隔膜主要来自中国供应商，磷酸铁锂（LFP）技术路线自主。 面临的问题：整车客户在东南亚建厂后要求就近配套；纯从中国出口电池面临关税与交期风险，且越南本地无 LFP 电芯产能。 ## 二、决策触发（Decision Trigger） 触发类型：market_access（市场准入） 触发细节：越南 VinFast 本地化生产需要就近电池</t>
        </is>
      </c>
    </row>
    <row r="80">
      <c r="A80" s="2" t="inlineStr">
        <is>
          <t>Q016</t>
        </is>
      </c>
      <c r="B80" s="2" t="n">
        <v>4</v>
      </c>
      <c r="C80" s="2" t="inlineStr">
        <is>
          <t>RELOC_004</t>
        </is>
      </c>
      <c r="D80" s="2" t="inlineStr">
        <is>
          <t>亿纬锂能 EVE Energy：中国 → 东南亚转移（多地区混合布局）</t>
        </is>
      </c>
      <c r="E80" s="2" t="inlineStr">
        <is>
          <t>供应链布局</t>
        </is>
      </c>
      <c r="F80" s="2" t="inlineStr">
        <is>
          <t>B+</t>
        </is>
      </c>
      <c r="G80" s="2" t="n">
        <v>1</v>
      </c>
      <c r="H80" s="2" t="n">
        <v>1</v>
      </c>
      <c r="I80" s="3" t="n">
        <v>1</v>
      </c>
      <c r="J80" s="3" t="n">
        <v>1</v>
      </c>
      <c r="K80" s="2" t="inlineStr">
        <is>
          <t>马来西亚电池厂案例，佐证产能转移</t>
        </is>
      </c>
      <c r="L80" s="2" t="inlineStr">
        <is>
          <t>新浪财经</t>
        </is>
      </c>
      <c r="M80" s="2" t="inlineStr">
        <is>
          <t>Supply Chain Risk</t>
        </is>
      </c>
      <c r="N80" s="2" t="inlineStr">
        <is>
          <t>supply_chain</t>
        </is>
      </c>
      <c r="O80" s="2" t="inlineStr">
        <is>
          <t>CASE_010; TRD_001; TRD_003</t>
        </is>
      </c>
      <c r="P80" s="2" t="inlineStr">
        <is>
          <t>我们要判断美国EV/电池进口是否正在从中国向越南、泰国、马来西亚转移。现有哪组贸易数据与政策证据最直接支持这个供应链迁移分析？</t>
        </is>
      </c>
      <c r="Q80" s="2" t="inlineStr">
        <is>
          <t>## 二、决策触发（Decision Trigger） 触发类型：tariff_pressure（关税压力） 触发细节：对美出口关税与'去中国化'供应链要求，迫使企业在东南亚布局产能以规避税率。 ## 三、实际决策（Actual Decision） 决策分类：多地区混合布局 决策内容：在马来西亚吉打州居林县建设海外工厂，二期于 2026 年 2 月投产运营，建筑面积约 60 万平方米，系公司首个海外大型锂电厂房项目，形成年产约 6.8 亿只圆柱电池产能；同时推进匈牙利、美国、印尼项目，中国产能保留。 ## 四、相关风险（Related Risk） 风险类</t>
        </is>
      </c>
    </row>
    <row r="81">
      <c r="A81" s="2" t="inlineStr">
        <is>
          <t>Q016</t>
        </is>
      </c>
      <c r="B81" s="2" t="n">
        <v>5</v>
      </c>
      <c r="C81" s="2" t="inlineStr">
        <is>
          <t>TRD_003</t>
        </is>
      </c>
      <c r="D81" s="2" t="inlineStr">
        <is>
          <t>中国对越南、泰国、马来西亚出口 HS 8541/8542（中间品），2018–2025年度</t>
        </is>
      </c>
      <c r="E81" s="2" t="inlineStr">
        <is>
          <t>贸易流</t>
        </is>
      </c>
      <c r="F81" s="2" t="inlineStr">
        <is>
          <t>A+</t>
        </is>
      </c>
      <c r="G81" s="2" t="n">
        <v>2</v>
      </c>
      <c r="H81" s="2" t="n">
        <v>2</v>
      </c>
      <c r="I81" s="3" t="n">
        <v>2</v>
      </c>
      <c r="J81" s="3" t="n">
        <v>2</v>
      </c>
      <c r="K81" s="2" t="inlineStr">
        <is>
          <t>中国对越/泰/马中间品出口，直接</t>
        </is>
      </c>
      <c r="L81" s="2" t="inlineStr">
        <is>
          <t>联合国商品贸易统计数据库（UN Comtrade）</t>
        </is>
      </c>
      <c r="M81" s="2" t="inlineStr">
        <is>
          <t>Supply Chain Risk</t>
        </is>
      </c>
      <c r="N81" s="2" t="inlineStr">
        <is>
          <t>supply_chain</t>
        </is>
      </c>
      <c r="O81" s="2" t="inlineStr">
        <is>
          <t>CASE_010; TRD_001; TRD_003</t>
        </is>
      </c>
      <c r="P81" s="2" t="inlineStr">
        <is>
          <t>我们要判断美国EV/电池进口是否正在从中国向越南、泰国、马来西亚转移。现有哪组贸易数据与政策证据最直接支持这个供应链迁移分析？</t>
        </is>
      </c>
      <c r="Q81" s="2"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row>
    <row r="82">
      <c r="A82" s="2" t="inlineStr">
        <is>
          <t>Q017</t>
        </is>
      </c>
      <c r="B82" s="2" t="n">
        <v>1</v>
      </c>
      <c r="C82" s="2" t="inlineStr">
        <is>
          <t>TRD_003</t>
        </is>
      </c>
      <c r="D82" s="2" t="inlineStr">
        <is>
          <t>中国对越南、泰国、马来西亚出口 HS 8541/8542（中间品），2018–2025年度</t>
        </is>
      </c>
      <c r="E82" s="2" t="inlineStr">
        <is>
          <t>贸易流</t>
        </is>
      </c>
      <c r="F82" s="2" t="inlineStr">
        <is>
          <t>A+</t>
        </is>
      </c>
      <c r="G82" s="2" t="n">
        <v>2</v>
      </c>
      <c r="H82" s="2" t="n">
        <v>2</v>
      </c>
      <c r="I82" s="3" t="n">
        <v>2</v>
      </c>
      <c r="J82" s="3" t="n">
        <v>2</v>
      </c>
      <c r="K82" s="2" t="inlineStr">
        <is>
          <t>中间品依赖数据，直接</t>
        </is>
      </c>
      <c r="L82" s="2" t="inlineStr">
        <is>
          <t>联合国商品贸易统计数据库（UN Comtrade）</t>
        </is>
      </c>
      <c r="M82" s="2" t="inlineStr">
        <is>
          <t>Supply Chain Risk</t>
        </is>
      </c>
      <c r="N82" s="2" t="inlineStr">
        <is>
          <t>supplier_dependency</t>
        </is>
      </c>
      <c r="O82" s="2" t="inlineStr">
        <is>
          <t>CASE_010; CSIS_001; TRD_003; WH_002</t>
        </is>
      </c>
      <c r="P82" s="2" t="inlineStr">
        <is>
          <t>如果东南亚工厂仍大量依赖来自中国的中间品，企业的‘China+1’布局可能存在哪类供应商依赖和原产地风险？现有数据与政策证据如何组合？</t>
        </is>
      </c>
      <c r="Q82" s="2"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row>
    <row r="83">
      <c r="A83" s="2" t="inlineStr">
        <is>
          <t>Q017</t>
        </is>
      </c>
      <c r="B83" s="2" t="n">
        <v>2</v>
      </c>
      <c r="C83" s="2" t="inlineStr">
        <is>
          <t>CASE_010</t>
        </is>
      </c>
      <c r="D83" s="2" t="inlineStr">
        <is>
          <t>白宫点名东南亚为非法转运高风险地区，并推出AI执法工具</t>
        </is>
      </c>
      <c r="E83" s="2" t="inlineStr">
        <is>
          <t>原产地与转运</t>
        </is>
      </c>
      <c r="F83" s="2" t="inlineStr">
        <is>
          <t>S</t>
        </is>
      </c>
      <c r="G83" s="2" t="n">
        <v>2</v>
      </c>
      <c r="H83" s="2" t="n">
        <v>2</v>
      </c>
      <c r="I83" s="3" t="n">
        <v>2</v>
      </c>
      <c r="J83" s="3" t="n">
        <v>2</v>
      </c>
      <c r="K83" s="2" t="inlineStr">
        <is>
          <t>转运/原产地执法立场，直接</t>
        </is>
      </c>
      <c r="L83" s="2" t="inlineStr">
        <is>
          <t>美国白宫（经律所解读）</t>
        </is>
      </c>
      <c r="M83" s="2" t="inlineStr">
        <is>
          <t>Supply Chain Risk</t>
        </is>
      </c>
      <c r="N83" s="2" t="inlineStr">
        <is>
          <t>supplier_dependency</t>
        </is>
      </c>
      <c r="O83" s="2" t="inlineStr">
        <is>
          <t>CASE_010; CSIS_001; TRD_003; WH_002</t>
        </is>
      </c>
      <c r="P83" s="2" t="inlineStr">
        <is>
          <t>如果东南亚工厂仍大量依赖来自中国的中间品，企业的‘China+1’布局可能存在哪类供应商依赖和原产地风险？现有数据与政策证据如何组合？</t>
        </is>
      </c>
      <c r="Q83" s="2"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row>
    <row r="84">
      <c r="A84" s="2" t="inlineStr">
        <is>
          <t>Q017</t>
        </is>
      </c>
      <c r="B84" s="2" t="n">
        <v>3</v>
      </c>
      <c r="C84" s="2" t="inlineStr">
        <is>
          <t>RELOC_005</t>
        </is>
      </c>
      <c r="D84" s="2" t="inlineStr">
        <is>
          <t>欣旺达 Sunwoda：中国 → 东南亚转移（多地区混合布局）</t>
        </is>
      </c>
      <c r="E84" s="2" t="inlineStr">
        <is>
          <t>供应链布局</t>
        </is>
      </c>
      <c r="F84" s="2" t="inlineStr">
        <is>
          <t>B+</t>
        </is>
      </c>
      <c r="G84" s="2" t="n">
        <v>1</v>
      </c>
      <c r="H84" s="2" t="n">
        <v>1</v>
      </c>
      <c r="I84" s="3" t="n">
        <v>1</v>
      </c>
      <c r="J84" s="3" t="n">
        <v>1</v>
      </c>
      <c r="K84" s="2" t="inlineStr">
        <is>
          <t>欣旺达越南基地：越南建厂但仍依赖中国材料，依赖例证</t>
        </is>
      </c>
      <c r="L84" s="2" t="inlineStr">
        <is>
          <t>东方财富网 / 腾讯新闻</t>
        </is>
      </c>
      <c r="M84" s="2" t="inlineStr">
        <is>
          <t>Supply Chain Risk</t>
        </is>
      </c>
      <c r="N84" s="2" t="inlineStr">
        <is>
          <t>supplier_dependency</t>
        </is>
      </c>
      <c r="O84" s="2" t="inlineStr">
        <is>
          <t>CASE_010; CSIS_001; TRD_003; WH_002</t>
        </is>
      </c>
      <c r="P84" s="2" t="inlineStr">
        <is>
          <t>如果东南亚工厂仍大量依赖来自中国的中间品，企业的‘China+1’布局可能存在哪类供应商依赖和原产地风险？现有数据与政策证据如何组合？</t>
        </is>
      </c>
      <c r="Q84" s="2" t="inlineStr">
        <is>
          <t>Evidence ID: RELOC_005 Title: 欣旺达 Sunwoda：中国 → 东南亚转移（多地区混合布局） Publisher: 东方财富网 / 腾讯新闻 Country/Jurisdiction: CN/VN Publication date: 2024-07-16 Status: CURRENT Topic: 供应链布局 Applicability scope: GENERAL Related industries: 动力电池/消费电池 Claim: 2024-07-15 公告拟通过下属子公司香港欣威设立越南锂威有限公司，投建越南锂威</t>
        </is>
      </c>
    </row>
    <row r="85">
      <c r="A85" s="2" t="inlineStr">
        <is>
          <t>Q017</t>
        </is>
      </c>
      <c r="B85" s="2" t="n">
        <v>4</v>
      </c>
      <c r="C85" s="2" t="inlineStr">
        <is>
          <t>RELOC_003</t>
        </is>
      </c>
      <c r="D85" s="2" t="inlineStr">
        <is>
          <t>国轩高科 Gotion High-Tech：中国 → 东南亚转移（多地区混合布局）</t>
        </is>
      </c>
      <c r="E85" s="2" t="inlineStr">
        <is>
          <t>供应链布局</t>
        </is>
      </c>
      <c r="F85" s="2" t="inlineStr">
        <is>
          <t>B+</t>
        </is>
      </c>
      <c r="G85" s="2" t="n">
        <v>1</v>
      </c>
      <c r="H85" s="2" t="n">
        <v>1</v>
      </c>
      <c r="I85" s="3" t="n">
        <v>1</v>
      </c>
      <c r="J85" s="3" t="n">
        <v>1</v>
      </c>
      <c r="K85" s="2" t="inlineStr">
        <is>
          <t>国轩高科越南基地：正负极材料仍来自中国，依赖例证</t>
        </is>
      </c>
      <c r="L85" s="2" t="inlineStr">
        <is>
          <t>澎湃新闻 / 盖世汽车社区</t>
        </is>
      </c>
      <c r="M85" s="2" t="inlineStr">
        <is>
          <t>Supply Chain Risk</t>
        </is>
      </c>
      <c r="N85" s="2" t="inlineStr">
        <is>
          <t>supplier_dependency</t>
        </is>
      </c>
      <c r="O85" s="2" t="inlineStr">
        <is>
          <t>CASE_010; CSIS_001; TRD_003; WH_002</t>
        </is>
      </c>
      <c r="P85" s="2" t="inlineStr">
        <is>
          <t>如果东南亚工厂仍大量依赖来自中国的中间品，企业的‘China+1’布局可能存在哪类供应商依赖和原产地风险？现有数据与政策证据如何组合？</t>
        </is>
      </c>
      <c r="Q85" s="2" t="inlineStr">
        <is>
          <t>## 一、决策前状态（Initial Situation） 生产布局：电芯产能集中于中国（合肥、庐江、南京等基地），海外仅有销售与研发。 主要市场：中国动力电池市场为主，海外客户（大众等）快速增加。 供应链结构：正极、负极、隔膜主要来自中国供应商，磷酸铁锂（LFP）技术路线自主。 面临的问题：整车客户在东南亚建厂后要求就近配套；纯从中国出口电池面临关税与交期风险，且越南本地无 LFP 电芯产能。 ## 二、决策触发（Decision Trigger） 触发类型：market_access（市场准入） 触发细节：越南 VinFast 本地化生产需要就近电池</t>
        </is>
      </c>
    </row>
    <row r="86">
      <c r="A86" s="2" t="inlineStr">
        <is>
          <t>Q017</t>
        </is>
      </c>
      <c r="B86" s="2" t="n">
        <v>5</v>
      </c>
      <c r="C86" s="2" t="inlineStr">
        <is>
          <t>WH_002</t>
        </is>
      </c>
      <c r="D86" s="2" t="inlineStr">
        <is>
          <t>The Great Transshipment Scam: Rise, Scope, and Costs（白宫非法转运报告）</t>
        </is>
      </c>
      <c r="E86" s="2" t="inlineStr">
        <is>
          <t>原产地与转运</t>
        </is>
      </c>
      <c r="F86" s="2" t="inlineStr">
        <is>
          <t>S</t>
        </is>
      </c>
      <c r="G86" s="2" t="n">
        <v>2</v>
      </c>
      <c r="H86" s="2" t="n">
        <v>2</v>
      </c>
      <c r="I86" s="3" t="n">
        <v>2</v>
      </c>
      <c r="J86" s="3" t="n">
        <v>2</v>
      </c>
      <c r="K86" s="2" t="inlineStr">
        <is>
          <t>非法转运报告，原产地风险直接</t>
        </is>
      </c>
      <c r="L86" s="2" t="inlineStr">
        <is>
          <t>美国白宫贸易与制造业政策办公室</t>
        </is>
      </c>
      <c r="M86" s="2" t="inlineStr">
        <is>
          <t>Supply Chain Risk</t>
        </is>
      </c>
      <c r="N86" s="2" t="inlineStr">
        <is>
          <t>supplier_dependency</t>
        </is>
      </c>
      <c r="O86" s="2" t="inlineStr">
        <is>
          <t>CASE_010; CSIS_001; TRD_003; WH_002</t>
        </is>
      </c>
      <c r="P86" s="2" t="inlineStr">
        <is>
          <t>如果东南亚工厂仍大量依赖来自中国的中间品，企业的‘China+1’布局可能存在哪类供应商依赖和原产地风险？现有数据与政策证据如何组合？</t>
        </is>
      </c>
      <c r="Q86"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87">
      <c r="A87" s="2" t="inlineStr">
        <is>
          <t>Q018</t>
        </is>
      </c>
      <c r="B87" s="2" t="n">
        <v>1</v>
      </c>
      <c r="C87" s="2" t="inlineStr">
        <is>
          <t>RELOC_005</t>
        </is>
      </c>
      <c r="D87" s="2" t="inlineStr">
        <is>
          <t>欣旺达 Sunwoda：中国 → 东南亚转移（多地区混合布局）</t>
        </is>
      </c>
      <c r="E87" s="2" t="inlineStr">
        <is>
          <t>供应链布局</t>
        </is>
      </c>
      <c r="F87" s="2" t="inlineStr">
        <is>
          <t>B+</t>
        </is>
      </c>
      <c r="G87" s="2" t="n">
        <v>1</v>
      </c>
      <c r="H87" s="2" t="n">
        <v>1</v>
      </c>
      <c r="I87" s="3" t="n">
        <v>1</v>
      </c>
      <c r="J87" s="3" t="n">
        <v>1</v>
      </c>
      <c r="K87" s="2" t="inlineStr">
        <is>
          <t>越南仅承担电芯制造、材料仍由中国供应，支持“未隔离风险”</t>
        </is>
      </c>
      <c r="L87" s="2" t="inlineStr">
        <is>
          <t>东方财富网 / 腾讯新闻</t>
        </is>
      </c>
      <c r="M87" s="2" t="inlineStr">
        <is>
          <t>Supply Chain Risk</t>
        </is>
      </c>
      <c r="N87" s="2" t="inlineStr">
        <is>
          <t>supply_chain</t>
        </is>
      </c>
      <c r="O87" s="2" t="inlineStr">
        <is>
          <t>CASE_001; CASE_002; CASE_003; CASE_008; TRD_003; RELOC_001; RELOC_003; RELOC_006; RETURN_001</t>
        </is>
      </c>
      <c r="P87" s="2" t="inlineStr">
        <is>
          <t>管理层正在比较中国本土生产与东南亚生产。现有案例是否表明仅把最终生产环节迁往东南亚并不能完全隔离贸易与供应链风险？</t>
        </is>
      </c>
      <c r="Q87" s="2" t="inlineStr">
        <is>
          <t>Evidence ID: RELOC_005 Title: 欣旺达 Sunwoda：中国 → 东南亚转移（多地区混合布局） Publisher: 东方财富网 / 腾讯新闻 Country/Jurisdiction: CN/VN Publication date: 2024-07-16 Status: CURRENT Topic: 供应链布局 Applicability scope: GENERAL Related industries: 动力电池/消费电池 Claim: 2024-07-15 公告拟通过下属子公司香港欣威设立越南锂威有限公司，投建越南锂威</t>
        </is>
      </c>
    </row>
    <row r="88">
      <c r="A88" s="2" t="inlineStr">
        <is>
          <t>Q018</t>
        </is>
      </c>
      <c r="B88" s="2" t="n">
        <v>2</v>
      </c>
      <c r="C88" s="2" t="inlineStr">
        <is>
          <t>RELOC_006</t>
        </is>
      </c>
      <c r="D88" s="2" t="inlineStr">
        <is>
          <t>蜂巢能源 SVOLT：中国 → 东南亚转移（多地区混合布局）</t>
        </is>
      </c>
      <c r="E88" s="2" t="inlineStr">
        <is>
          <t>供应链布局</t>
        </is>
      </c>
      <c r="F88" s="2" t="inlineStr">
        <is>
          <t>B+</t>
        </is>
      </c>
      <c r="G88" s="2" t="n">
        <v>2</v>
      </c>
      <c r="H88" s="2" t="n">
        <v>1</v>
      </c>
      <c r="I88" s="3" t="n">
        <v>2</v>
      </c>
      <c r="J88" s="3" t="n">
        <v>1</v>
      </c>
      <c r="K88" s="2" t="inlineStr">
        <is>
          <t>泰国仅承担模组PACK、电芯材料仍从中国输入，直接支持</t>
        </is>
      </c>
      <c r="L88" s="2" t="inlineStr">
        <is>
          <t>澎湃新闻</t>
        </is>
      </c>
      <c r="M88" s="2" t="inlineStr">
        <is>
          <t>Supply Chain Risk</t>
        </is>
      </c>
      <c r="N88" s="2" t="inlineStr">
        <is>
          <t>supply_chain</t>
        </is>
      </c>
      <c r="O88" s="2" t="inlineStr">
        <is>
          <t>CASE_001; CASE_002; CASE_003; CASE_008; TRD_003; RELOC_001; RELOC_003; RELOC_006; RETURN_001</t>
        </is>
      </c>
      <c r="P88" s="2" t="inlineStr">
        <is>
          <t>管理层正在比较中国本土生产与东南亚生产。现有案例是否表明仅把最终生产环节迁往东南亚并不能完全隔离贸易与供应链风险？</t>
        </is>
      </c>
      <c r="Q88" s="2" t="inlineStr">
        <is>
          <t>## 三、实际决策（Actual Decision） 决策分类：多地区混合布局 决策内容：在泰国春武里府是拉差市建设电池工厂（模组 PACK + 电芯），2024-02-28 正式投产并批量交付，配套长城欧拉、合众/哪吒等中国车企在泰车型；当年计划交付超 2 万套 PACK；中国产能保留。 ## 四、相关风险（Related Risk） 风险类别：Trade Risk; Market Access Risk; Operational Risk ## 五、后续结果（Outcome） 成本影响：本地 PACK 组装降低关税与物流成本，投资规模小于整线电芯厂。</t>
        </is>
      </c>
    </row>
    <row r="89">
      <c r="A89" s="2" t="inlineStr">
        <is>
          <t>Q018</t>
        </is>
      </c>
      <c r="B89" s="2" t="n">
        <v>3</v>
      </c>
      <c r="C89" s="2" t="inlineStr">
        <is>
          <t>RELOC_004</t>
        </is>
      </c>
      <c r="D89" s="2" t="inlineStr">
        <is>
          <t>亿纬锂能 EVE Energy：中国 → 东南亚转移（多地区混合布局）</t>
        </is>
      </c>
      <c r="E89" s="2" t="inlineStr">
        <is>
          <t>供应链布局</t>
        </is>
      </c>
      <c r="F89" s="2" t="inlineStr">
        <is>
          <t>B+</t>
        </is>
      </c>
      <c r="G89" s="2" t="n">
        <v>1</v>
      </c>
      <c r="H89" s="2" t="n">
        <v>1</v>
      </c>
      <c r="I89" s="3" t="n">
        <v>1</v>
      </c>
      <c r="J89" s="3" t="n">
        <v>1</v>
      </c>
      <c r="K89" s="2" t="inlineStr">
        <is>
          <t>材料仍由中国输入，例证</t>
        </is>
      </c>
      <c r="L89" s="2" t="inlineStr">
        <is>
          <t>新浪财经</t>
        </is>
      </c>
      <c r="M89" s="2" t="inlineStr">
        <is>
          <t>Supply Chain Risk</t>
        </is>
      </c>
      <c r="N89" s="2" t="inlineStr">
        <is>
          <t>supply_chain</t>
        </is>
      </c>
      <c r="O89" s="2" t="inlineStr">
        <is>
          <t>CASE_001; CASE_002; CASE_003; CASE_008; TRD_003; RELOC_001; RELOC_003; RELOC_006; RETURN_001</t>
        </is>
      </c>
      <c r="P89" s="2" t="inlineStr">
        <is>
          <t>管理层正在比较中国本土生产与东南亚生产。现有案例是否表明仅把最终生产环节迁往东南亚并不能完全隔离贸易与供应链风险？</t>
        </is>
      </c>
      <c r="Q89" s="2" t="inlineStr">
        <is>
          <t>Evidence ID: RELOC_004 Title: 亿纬锂能 EVE Energy：中国 → 东南亚转移（多地区混合布局） Publisher: 新浪财经 Country/Jurisdiction: CN/MY Publication date: 2026-02-06 Status: CURRENT Topic: 供应链布局 Applicability scope: GENERAL Related industries: 动力电池/储能 Claim: 在马来西亚吉打州居林县建设海外工厂，二期于 2026 年 2 月投产运营，建筑面积约 60 万平</t>
        </is>
      </c>
    </row>
    <row r="90">
      <c r="A90" s="2" t="inlineStr">
        <is>
          <t>Q018</t>
        </is>
      </c>
      <c r="B90" s="2" t="n">
        <v>4</v>
      </c>
      <c r="C90" s="2" t="inlineStr">
        <is>
          <t>RELOC_002</t>
        </is>
      </c>
      <c r="D90" s="2" t="inlineStr">
        <is>
          <t>长安汽车 Changan Automobile：中国 → 东南亚转移（多地区混合布局）</t>
        </is>
      </c>
      <c r="E90" s="2" t="inlineStr">
        <is>
          <t>供应链布局</t>
        </is>
      </c>
      <c r="F90" s="2" t="inlineStr">
        <is>
          <t>S</t>
        </is>
      </c>
      <c r="G90" s="2" t="n">
        <v>1</v>
      </c>
      <c r="H90" s="2" t="n">
        <v>2</v>
      </c>
      <c r="I90" s="3" t="n">
        <v>1</v>
      </c>
      <c r="J90" s="3" t="n">
        <v>2</v>
      </c>
      <c r="K90" s="2" t="inlineStr">
        <is>
          <t>零部件本地化仍在爬坡、依赖中泰跨境供应，例证</t>
        </is>
      </c>
      <c r="L90" s="2" t="inlineStr">
        <is>
          <t>易车 / 证券之星（投资者互动平台）</t>
        </is>
      </c>
      <c r="M90" s="2" t="inlineStr">
        <is>
          <t>Supply Chain Risk</t>
        </is>
      </c>
      <c r="N90" s="2" t="inlineStr">
        <is>
          <t>supply_chain</t>
        </is>
      </c>
      <c r="O90" s="2" t="inlineStr">
        <is>
          <t>CASE_001; CASE_002; CASE_003; CASE_008; TRD_003; RELOC_001; RELOC_003; RELOC_006; RETURN_001</t>
        </is>
      </c>
      <c r="P90" s="2" t="inlineStr">
        <is>
          <t>管理层正在比较中国本土生产与东南亚生产。现有案例是否表明仅把最终生产环节迁往东南亚并不能完全隔离贸易与供应链风险？</t>
        </is>
      </c>
      <c r="Q90" s="2" t="inlineStr">
        <is>
          <t>## 二、决策触发（Decision Trigger） 触发类型：market_access（市场准入） 触发细节：泰国 EV3.5 补贴政策要求本地生产，才能享受补贴与关税优惠。 ## 三、实际决策（Actual Decision） 决策分类：多地区混合布局 决策内容：在泰国罗勇府建设整车工厂，2025-05-16 竣工投产，全球累计第 2859 万辆（深蓝 S05）在泰下线；中国产能保留。 ## 四、相关风险（Related Risk） 风险类别：Trade Risk; Market Access Risk; Operational Risk ##</t>
        </is>
      </c>
    </row>
    <row r="91">
      <c r="A91" s="2" t="inlineStr">
        <is>
          <t>Q018</t>
        </is>
      </c>
      <c r="B91" s="2" t="n">
        <v>5</v>
      </c>
      <c r="C91" s="2" t="inlineStr">
        <is>
          <t>RETURN_001</t>
        </is>
      </c>
      <c r="D91" s="2" t="inlineStr">
        <is>
          <t>恩捷股份 Yunnan Energy New Material (Semcorp)：重新评估 / 回流中国（提高中国生产比例）</t>
        </is>
      </c>
      <c r="E91" s="2" t="inlineStr">
        <is>
          <t>供应链布局</t>
        </is>
      </c>
      <c r="F91" s="2" t="inlineStr">
        <is>
          <t>S</t>
        </is>
      </c>
      <c r="G91" s="2" t="n">
        <v>2</v>
      </c>
      <c r="H91" s="2" t="n">
        <v>2</v>
      </c>
      <c r="I91" s="3" t="n">
        <v>2</v>
      </c>
      <c r="J91" s="3" t="n">
        <v>2</v>
      </c>
      <c r="K91" s="2" t="inlineStr">
        <is>
          <t>终止海外项目、对单一中国基地依赖上升，直接说明风险未隔离</t>
        </is>
      </c>
      <c r="L91" s="2" t="inlineStr">
        <is>
          <t>恩捷股份公告（经东方财富网 / 央广网报道）</t>
        </is>
      </c>
      <c r="M91" s="2" t="inlineStr">
        <is>
          <t>Supply Chain Risk</t>
        </is>
      </c>
      <c r="N91" s="2" t="inlineStr">
        <is>
          <t>supply_chain</t>
        </is>
      </c>
      <c r="O91" s="2" t="inlineStr">
        <is>
          <t>CASE_001; CASE_002; CASE_003; CASE_008; TRD_003; RELOC_001; RELOC_003; RELOC_006; RETURN_001</t>
        </is>
      </c>
      <c r="P91" s="2" t="inlineStr">
        <is>
          <t>管理层正在比较中国本土生产与东南亚生产。现有案例是否表明仅把最终生产环节迁往东南亚并不能完全隔离贸易与供应链风险？</t>
        </is>
      </c>
      <c r="Q91" s="2" t="inlineStr">
        <is>
          <t>## 一、决策前状态（Initial Situation） 生产布局：湿法锂电隔膜产能以中国为主（上海、珠海、无锡等），为全球隔膜龙头。 主要市场：中国 + 海外电池客户（含欧美）。 供应链结构：基膜与涂覆材料主要在中国生产，产品出口海外。 面临的问题：2024 年规划马来西亚隔膜项目（约 10 亿平方米/年、投资约 20 亿元）以求贴近海外客户并规避关税。 ## 二、决策触发（Decision Trigger） 触发类型：cost_change（成本变化） 触发细节：外部市场环境及行业竞争格局发生变化（隔膜价格下行、行业产能过剩、海外建厂成本高于预期）</t>
        </is>
      </c>
    </row>
    <row r="92">
      <c r="A92" s="2" t="inlineStr">
        <is>
          <t>Q019</t>
        </is>
      </c>
      <c r="B92" s="2" t="n">
        <v>1</v>
      </c>
      <c r="C92" s="2" t="inlineStr">
        <is>
          <t>RELOC_005</t>
        </is>
      </c>
      <c r="D92" s="2" t="inlineStr">
        <is>
          <t>欣旺达 Sunwoda：中国 → 东南亚转移（多地区混合布局）</t>
        </is>
      </c>
      <c r="E92" s="2" t="inlineStr">
        <is>
          <t>供应链布局</t>
        </is>
      </c>
      <c r="F92" s="2" t="inlineStr">
        <is>
          <t>B+</t>
        </is>
      </c>
      <c r="G92" s="2" t="n">
        <v>1</v>
      </c>
      <c r="H92" s="2" t="n">
        <v>1</v>
      </c>
      <c r="I92" s="3" t="n">
        <v>2</v>
      </c>
      <c r="J92" s="3" t="n">
        <v>1</v>
      </c>
      <c r="K92" s="2" t="inlineStr">
        <is>
          <t>欣旺达越南扩产，供应链布局调整的直接案例 ｜ 人工判定与Auto(1)不同，请复核</t>
        </is>
      </c>
      <c r="L92" s="2" t="inlineStr">
        <is>
          <t>东方财富网 / 腾讯新闻</t>
        </is>
      </c>
      <c r="M92" s="2" t="inlineStr">
        <is>
          <t>Supply Chain Risk</t>
        </is>
      </c>
      <c r="N92" s="2" t="inlineStr">
        <is>
          <t>supply_chain</t>
        </is>
      </c>
      <c r="O92" s="2" t="inlineStr">
        <is>
          <t>CASE_001; CASE_004; CASE_005; CASE_006; CASE_008; KPMG_001; PLUS1_001; PLUS1_002; RELOC_001</t>
        </is>
      </c>
      <c r="P92" s="2" t="inlineStr">
        <is>
          <t>我们要做供应链韧性方案，哪些证据可以说明大企业正在调整供应链布局，以及企业在海外扩产时可能面临哪些执行风险？</t>
        </is>
      </c>
      <c r="Q92" s="2" t="inlineStr">
        <is>
          <t>Evidence ID: RELOC_005 Title: 欣旺达 Sunwoda：中国 → 东南亚转移（多地区混合布局） Publisher: 东方财富网 / 腾讯新闻 Country/Jurisdiction: CN/VN Publication date: 2024-07-16 Status: CURRENT Topic: 供应链布局 Applicability scope: GENERAL Related industries: 动力电池/消费电池 Claim: 2024-07-15 公告拟通过下属子公司香港欣威设立越南锂威有限公司，投建越南锂威</t>
        </is>
      </c>
    </row>
    <row r="93">
      <c r="A93" s="2" t="inlineStr">
        <is>
          <t>Q019</t>
        </is>
      </c>
      <c r="B93" s="2" t="n">
        <v>2</v>
      </c>
      <c r="C93" s="2" t="inlineStr">
        <is>
          <t>RETURN_001</t>
        </is>
      </c>
      <c r="D93" s="2" t="inlineStr">
        <is>
          <t>恩捷股份 Yunnan Energy New Material (Semcorp)：重新评估 / 回流中国（提高中国生产比例）</t>
        </is>
      </c>
      <c r="E93" s="2" t="inlineStr">
        <is>
          <t>供应链布局</t>
        </is>
      </c>
      <c r="F93" s="2" t="inlineStr">
        <is>
          <t>S</t>
        </is>
      </c>
      <c r="G93" s="2" t="n">
        <v>1</v>
      </c>
      <c r="H93" s="2" t="n">
        <v>2</v>
      </c>
      <c r="I93" s="3" t="n">
        <v>2</v>
      </c>
      <c r="J93" s="3" t="n">
        <v>2</v>
      </c>
      <c r="K93" s="2" t="inlineStr">
        <is>
          <t>终止海外项目、资源回投国内，直接说明执行风险 ｜ 人工判定与Auto(1)不同，请复核</t>
        </is>
      </c>
      <c r="L93" s="2" t="inlineStr">
        <is>
          <t>恩捷股份公告（经东方财富网 / 央广网报道）</t>
        </is>
      </c>
      <c r="M93" s="2" t="inlineStr">
        <is>
          <t>Supply Chain Risk</t>
        </is>
      </c>
      <c r="N93" s="2" t="inlineStr">
        <is>
          <t>supply_chain</t>
        </is>
      </c>
      <c r="O93" s="2" t="inlineStr">
        <is>
          <t>CASE_001; CASE_004; CASE_005; CASE_006; CASE_008; KPMG_001; PLUS1_001; PLUS1_002; RELOC_001</t>
        </is>
      </c>
      <c r="P93" s="2" t="inlineStr">
        <is>
          <t>我们要做供应链韧性方案，哪些证据可以说明大企业正在调整供应链布局，以及企业在海外扩产时可能面临哪些执行风险？</t>
        </is>
      </c>
      <c r="Q93" s="2" t="inlineStr">
        <is>
          <t>## 一、决策前状态（Initial Situation） 生产布局：湿法锂电隔膜产能以中国为主（上海、珠海、无锡等），为全球隔膜龙头。 主要市场：中国 + 海外电池客户（含欧美）。 供应链结构：基膜与涂覆材料主要在中国生产，产品出口海外。 面临的问题：2024 年规划马来西亚隔膜项目（约 10 亿平方米/年、投资约 20 亿元）以求贴近海外客户并规避关税。 ## 二、决策触发（Decision Trigger） 触发类型：cost_change（成本变化） 触发细节：外部市场环境及行业竞争格局发生变化（隔膜价格下行、行业产能过剩、海外建厂成本高于预期）</t>
        </is>
      </c>
    </row>
    <row r="94">
      <c r="A94" s="2" t="inlineStr">
        <is>
          <t>Q019</t>
        </is>
      </c>
      <c r="B94" s="2" t="n">
        <v>3</v>
      </c>
      <c r="C94" s="2" t="inlineStr">
        <is>
          <t>RELOC_004</t>
        </is>
      </c>
      <c r="D94" s="2" t="inlineStr">
        <is>
          <t>亿纬锂能 EVE Energy：中国 → 东南亚转移（多地区混合布局）</t>
        </is>
      </c>
      <c r="E94" s="2" t="inlineStr">
        <is>
          <t>供应链布局</t>
        </is>
      </c>
      <c r="F94" s="2" t="inlineStr">
        <is>
          <t>B+</t>
        </is>
      </c>
      <c r="G94" s="2" t="n">
        <v>1</v>
      </c>
      <c r="H94" s="2" t="n">
        <v>1</v>
      </c>
      <c r="I94" s="3" t="n">
        <v>2</v>
      </c>
      <c r="J94" s="3" t="n">
        <v>1</v>
      </c>
      <c r="K94" s="2" t="inlineStr">
        <is>
          <t>亿纬锂能马来西亚投产，布局调整案例 ｜ 人工判定与Auto(1)不同，请复核</t>
        </is>
      </c>
      <c r="L94" s="2" t="inlineStr">
        <is>
          <t>新浪财经</t>
        </is>
      </c>
      <c r="M94" s="2" t="inlineStr">
        <is>
          <t>Supply Chain Risk</t>
        </is>
      </c>
      <c r="N94" s="2" t="inlineStr">
        <is>
          <t>supply_chain</t>
        </is>
      </c>
      <c r="O94" s="2" t="inlineStr">
        <is>
          <t>CASE_001; CASE_004; CASE_005; CASE_006; CASE_008; KPMG_001; PLUS1_001; PLUS1_002; RELOC_001</t>
        </is>
      </c>
      <c r="P94" s="2" t="inlineStr">
        <is>
          <t>我们要做供应链韧性方案，哪些证据可以说明大企业正在调整供应链布局，以及企业在海外扩产时可能面临哪些执行风险？</t>
        </is>
      </c>
      <c r="Q94" s="2" t="inlineStr">
        <is>
          <t>## 二、决策触发（Decision Trigger） 触发类型：tariff_pressure（关税压力） 触发细节：对美出口关税与'去中国化'供应链要求，迫使企业在东南亚布局产能以规避税率。 ## 三、实际决策（Actual Decision） 决策分类：多地区混合布局 决策内容：在马来西亚吉打州居林县建设海外工厂，二期于 2026 年 2 月投产运营，建筑面积约 60 万平方米，系公司首个海外大型锂电厂房项目，形成年产约 6.8 亿只圆柱电池产能；同时推进匈牙利、美国、印尼项目，中国产能保留。 ## 四、相关风险（Related Risk） 风险类</t>
        </is>
      </c>
    </row>
    <row r="95">
      <c r="A95" s="2" t="inlineStr">
        <is>
          <t>Q019</t>
        </is>
      </c>
      <c r="B95" s="2" t="n">
        <v>4</v>
      </c>
      <c r="C95" s="2" t="inlineStr">
        <is>
          <t>RELOC_001</t>
        </is>
      </c>
      <c r="D95" s="2" t="inlineStr">
        <is>
          <t>比亚迪 BYD：中国 → 东南亚转移（多地区混合布局）</t>
        </is>
      </c>
      <c r="E95" s="2" t="inlineStr">
        <is>
          <t>供应链布局</t>
        </is>
      </c>
      <c r="F95" s="2" t="inlineStr">
        <is>
          <t>S</t>
        </is>
      </c>
      <c r="G95" s="2" t="n">
        <v>2</v>
      </c>
      <c r="H95" s="2" t="n">
        <v>2</v>
      </c>
      <c r="I95" s="3" t="n">
        <v>2</v>
      </c>
      <c r="J95" s="3" t="n">
        <v>2</v>
      </c>
      <c r="K95" s="2" t="inlineStr">
        <is>
          <t>比亚迪泰国投产，布局调整案例</t>
        </is>
      </c>
      <c r="L95" s="2" t="inlineStr">
        <is>
          <t>东方财富网（转比亚迪官方）</t>
        </is>
      </c>
      <c r="M95" s="2" t="inlineStr">
        <is>
          <t>Supply Chain Risk</t>
        </is>
      </c>
      <c r="N95" s="2" t="inlineStr">
        <is>
          <t>supply_chain</t>
        </is>
      </c>
      <c r="O95" s="2" t="inlineStr">
        <is>
          <t>CASE_001; CASE_004; CASE_005; CASE_006; CASE_008; KPMG_001; PLUS1_001; PLUS1_002; RELOC_001</t>
        </is>
      </c>
      <c r="P95" s="2" t="inlineStr">
        <is>
          <t>我们要做供应链韧性方案，哪些证据可以说明大企业正在调整供应链布局，以及企业在海外扩产时可能面临哪些执行风险？</t>
        </is>
      </c>
      <c r="Q95" s="2" t="inlineStr">
        <is>
          <t>Evidence ID: RELOC_001 Title: 比亚迪 BYD：中国 → 东南亚转移（多地区混合布局） Publisher: 东方财富网（转比亚迪官方） Country/Jurisdiction: CN/TH Publication date: 2024-07-04 Status: CURRENT Topic: 供应链布局 Applicability scope: GENERAL Related industries: 整车/汽车 Claim: 2022-09 与 WHA 签约，在泰国罗勇府建全资乘用车工厂；2024-07-04 竣工投产，年</t>
        </is>
      </c>
    </row>
    <row r="96">
      <c r="A96" s="2" t="inlineStr">
        <is>
          <t>Q019</t>
        </is>
      </c>
      <c r="B96" s="2" t="n">
        <v>5</v>
      </c>
      <c r="C96" s="2" t="inlineStr">
        <is>
          <t>PLUS1_001</t>
        </is>
      </c>
      <c r="D96" s="2" t="inlineStr">
        <is>
          <t>宁德时代 CATL：China + 1 战略（多地区混合布局）</t>
        </is>
      </c>
      <c r="E96" s="2" t="inlineStr">
        <is>
          <t>供应链布局</t>
        </is>
      </c>
      <c r="F96" s="2" t="inlineStr">
        <is>
          <t>B+</t>
        </is>
      </c>
      <c r="G96" s="2" t="n">
        <v>2</v>
      </c>
      <c r="H96" s="2" t="n">
        <v>1</v>
      </c>
      <c r="I96" s="3" t="n">
        <v>2</v>
      </c>
      <c r="J96" s="3" t="n">
        <v>1</v>
      </c>
      <c r="K96" s="2" t="inlineStr">
        <is>
          <t>CATL 匈牙利 China+1，布局调整案例</t>
        </is>
      </c>
      <c r="L96" s="2" t="inlineStr">
        <is>
          <t>每日经济新闻 / 搜狐网</t>
        </is>
      </c>
      <c r="M96" s="2" t="inlineStr">
        <is>
          <t>Supply Chain Risk</t>
        </is>
      </c>
      <c r="N96" s="2" t="inlineStr">
        <is>
          <t>supply_chain</t>
        </is>
      </c>
      <c r="O96" s="2" t="inlineStr">
        <is>
          <t>CASE_001; CASE_004; CASE_005; CASE_006; CASE_008; KPMG_001; PLUS1_001; PLUS1_002; RELOC_001</t>
        </is>
      </c>
      <c r="P96" s="2" t="inlineStr">
        <is>
          <t>我们要做供应链韧性方案，哪些证据可以说明大企业正在调整供应链布局，以及企业在海外扩产时可能面临哪些执行风险？</t>
        </is>
      </c>
      <c r="Q96" s="2" t="inlineStr">
        <is>
          <t>Evidence ID: PLUS1_001 Title: 宁德时代 CATL：China + 1 战略（多地区混合布局） Publisher: 每日经济新闻 / 搜狐网 Country/Jurisdiction: CN/HU Publication date: 2026-09-22 Status: CURRENT Topic: 供应链布局 Applicability scope: GENERAL Related industries: 动力电池 Claim: 在匈牙利德布勒森建设欧洲第二座电池工厂，投资约 73.4 亿欧元（匈牙利史上最大外资项目之一）</t>
        </is>
      </c>
    </row>
    <row r="97">
      <c r="A97" s="2" t="inlineStr">
        <is>
          <t>Q020</t>
        </is>
      </c>
      <c r="B97" s="2" t="n">
        <v>1</v>
      </c>
      <c r="C97" s="2" t="inlineStr">
        <is>
          <t>TRD_003</t>
        </is>
      </c>
      <c r="D97" s="2" t="inlineStr">
        <is>
          <t>中国对越南、泰国、马来西亚出口 HS 8541/8542（中间品），2018–2025年度</t>
        </is>
      </c>
      <c r="E97" s="2" t="inlineStr">
        <is>
          <t>贸易流</t>
        </is>
      </c>
      <c r="F97" s="2" t="inlineStr">
        <is>
          <t>A+</t>
        </is>
      </c>
      <c r="G97" s="2" t="n">
        <v>2</v>
      </c>
      <c r="H97" s="2" t="n">
        <v>2</v>
      </c>
      <c r="I97" s="3" t="n">
        <v>2</v>
      </c>
      <c r="J97" s="3" t="n">
        <v>2</v>
      </c>
      <c r="K97" s="2" t="inlineStr">
        <is>
          <t>中间品依赖数据，直接</t>
        </is>
      </c>
      <c r="L97" s="2" t="inlineStr">
        <is>
          <t>联合国商品贸易统计数据库（UN Comtrade）</t>
        </is>
      </c>
      <c r="M97" s="2" t="inlineStr">
        <is>
          <t>Supply Chain Risk</t>
        </is>
      </c>
      <c r="N97" s="2" t="inlineStr">
        <is>
          <t>supplier_dependency</t>
        </is>
      </c>
      <c r="O97" s="2" t="inlineStr">
        <is>
          <t>CASE_010; CSIS_001; TRD_001; TRD_003; WH_002</t>
        </is>
      </c>
      <c r="P97" s="2" t="inlineStr">
        <is>
          <t>如果公司计划把关键产能集中在泰国或马来西亚，现有证据如何支持对地理集中、非法转运审查和中间品依赖进行联合评估？</t>
        </is>
      </c>
      <c r="Q97" s="2"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row>
    <row r="98">
      <c r="A98" s="2" t="inlineStr">
        <is>
          <t>Q020</t>
        </is>
      </c>
      <c r="B98" s="2" t="n">
        <v>2</v>
      </c>
      <c r="C98" s="2" t="inlineStr">
        <is>
          <t>WH_002</t>
        </is>
      </c>
      <c r="D98" s="2" t="inlineStr">
        <is>
          <t>The Great Transshipment Scam: Rise, Scope, and Costs（白宫非法转运报告）</t>
        </is>
      </c>
      <c r="E98" s="2" t="inlineStr">
        <is>
          <t>原产地与转运</t>
        </is>
      </c>
      <c r="F98" s="2" t="inlineStr">
        <is>
          <t>S</t>
        </is>
      </c>
      <c r="G98" s="2" t="n">
        <v>2</v>
      </c>
      <c r="H98" s="2" t="n">
        <v>2</v>
      </c>
      <c r="I98" s="3" t="n">
        <v>2</v>
      </c>
      <c r="J98" s="3" t="n">
        <v>2</v>
      </c>
      <c r="K98" s="2" t="inlineStr">
        <is>
          <t>转运审查，直接</t>
        </is>
      </c>
      <c r="L98" s="2" t="inlineStr">
        <is>
          <t>美国白宫贸易与制造业政策办公室</t>
        </is>
      </c>
      <c r="M98" s="2" t="inlineStr">
        <is>
          <t>Supply Chain Risk</t>
        </is>
      </c>
      <c r="N98" s="2" t="inlineStr">
        <is>
          <t>supplier_dependency</t>
        </is>
      </c>
      <c r="O98" s="2" t="inlineStr">
        <is>
          <t>CASE_010; CSIS_001; TRD_001; TRD_003; WH_002</t>
        </is>
      </c>
      <c r="P98" s="2" t="inlineStr">
        <is>
          <t>如果公司计划把关键产能集中在泰国或马来西亚，现有证据如何支持对地理集中、非法转运审查和中间品依赖进行联合评估？</t>
        </is>
      </c>
      <c r="Q98"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99">
      <c r="A99" s="2" t="inlineStr">
        <is>
          <t>Q020</t>
        </is>
      </c>
      <c r="B99" s="2" t="n">
        <v>3</v>
      </c>
      <c r="C99" s="2" t="inlineStr">
        <is>
          <t>CASE_010</t>
        </is>
      </c>
      <c r="D99" s="2" t="inlineStr">
        <is>
          <t>白宫点名东南亚为非法转运高风险地区，并推出AI执法工具</t>
        </is>
      </c>
      <c r="E99" s="2" t="inlineStr">
        <is>
          <t>原产地与转运</t>
        </is>
      </c>
      <c r="F99" s="2" t="inlineStr">
        <is>
          <t>S</t>
        </is>
      </c>
      <c r="G99" s="2" t="n">
        <v>2</v>
      </c>
      <c r="H99" s="2" t="n">
        <v>2</v>
      </c>
      <c r="I99" s="3" t="n">
        <v>2</v>
      </c>
      <c r="J99" s="3" t="n">
        <v>2</v>
      </c>
      <c r="K99" s="2" t="inlineStr">
        <is>
          <t>点名泰/马转运高风险，直接</t>
        </is>
      </c>
      <c r="L99" s="2" t="inlineStr">
        <is>
          <t>美国白宫（经律所解读）</t>
        </is>
      </c>
      <c r="M99" s="2" t="inlineStr">
        <is>
          <t>Supply Chain Risk</t>
        </is>
      </c>
      <c r="N99" s="2" t="inlineStr">
        <is>
          <t>supplier_dependency</t>
        </is>
      </c>
      <c r="O99" s="2" t="inlineStr">
        <is>
          <t>CASE_010; CSIS_001; TRD_001; TRD_003; WH_002</t>
        </is>
      </c>
      <c r="P99" s="2" t="inlineStr">
        <is>
          <t>如果公司计划把关键产能集中在泰国或马来西亚，现有证据如何支持对地理集中、非法转运审查和中间品依赖进行联合评估？</t>
        </is>
      </c>
      <c r="Q99" s="2" t="inlineStr">
        <is>
          <t>审查应重点关注申报原产地是否得到适用法律标准和客观生产证据的支持。 公司应维护制造记录、物料清单、生产流程描述、供应商认证、采购订单、发票、路由文件以及支持重大转型决定的书面法律分析。 当基础生产事实不支持申报的原产地时，仅依赖供应商认证可能不足以应对。 进口商还应评估事先披露、裁定请求、修订原产地分析或加强供应商尽职调查是否适合高风险供应链。 主要要点 报告中的五项独立估计显示，每年非法转运资金流动在400亿至3030亿美元之间，关税收入损失每年达数百亿美元，收入回收潜力足以确保持续的执法关注。 行政命令14411的进口登记、保证和所有权披露要求将在入</t>
        </is>
      </c>
    </row>
    <row r="100">
      <c r="A100" s="2" t="inlineStr">
        <is>
          <t>Q020</t>
        </is>
      </c>
      <c r="B100" s="2" t="n">
        <v>4</v>
      </c>
      <c r="C100" s="2" t="inlineStr">
        <is>
          <t>RETURN_001</t>
        </is>
      </c>
      <c r="D100" s="2" t="inlineStr">
        <is>
          <t>恩捷股份 Yunnan Energy New Material (Semcorp)：重新评估 / 回流中国（提高中国生产比例）</t>
        </is>
      </c>
      <c r="E100" s="2" t="inlineStr">
        <is>
          <t>供应链布局</t>
        </is>
      </c>
      <c r="F100" s="2" t="inlineStr">
        <is>
          <t>S</t>
        </is>
      </c>
      <c r="G100" s="2" t="n">
        <v>1</v>
      </c>
      <c r="H100" s="2" t="n">
        <v>2</v>
      </c>
      <c r="I100" s="3" t="n">
        <v>1</v>
      </c>
      <c r="J100" s="3" t="n">
        <v>2</v>
      </c>
      <c r="K100" s="2" t="inlineStr">
        <is>
          <t>企业终止海外项目，与地理集中评估弱相关</t>
        </is>
      </c>
      <c r="L100" s="2" t="inlineStr">
        <is>
          <t>恩捷股份公告（经东方财富网 / 央广网报道）</t>
        </is>
      </c>
      <c r="M100" s="2" t="inlineStr">
        <is>
          <t>Supply Chain Risk</t>
        </is>
      </c>
      <c r="N100" s="2" t="inlineStr">
        <is>
          <t>supplier_dependency</t>
        </is>
      </c>
      <c r="O100" s="2" t="inlineStr">
        <is>
          <t>CASE_010; CSIS_001; TRD_001; TRD_003; WH_002</t>
        </is>
      </c>
      <c r="P100" s="2" t="inlineStr">
        <is>
          <t>如果公司计划把关键产能集中在泰国或马来西亚，现有证据如何支持对地理集中、非法转运审查和中间品依赖进行联合评估？</t>
        </is>
      </c>
      <c r="Q100" s="2" t="inlineStr">
        <is>
          <t>## 一、决策前状态（Initial Situation） 生产布局：湿法锂电隔膜产能以中国为主（上海、珠海、无锡等），为全球隔膜龙头。 主要市场：中国 + 海外电池客户（含欧美）。 供应链结构：基膜与涂覆材料主要在中国生产，产品出口海外。 面临的问题：2024 年规划马来西亚隔膜项目（约 10 亿平方米/年、投资约 20 亿元）以求贴近海外客户并规避关税。 ## 二、决策触发（Decision Trigger） 触发类型：cost_change（成本变化） 触发细节：外部市场环境及行业竞争格局发生变化（隔膜价格下行、行业产能过剩、海外建厂成本高于预期）</t>
        </is>
      </c>
    </row>
    <row r="101">
      <c r="A101" s="2" t="inlineStr">
        <is>
          <t>Q020</t>
        </is>
      </c>
      <c r="B101" s="2" t="n">
        <v>5</v>
      </c>
      <c r="C101" s="2" t="inlineStr">
        <is>
          <t>WH_001</t>
        </is>
      </c>
      <c r="D101" s="2" t="inlineStr">
        <is>
          <t>Executive Order 14411: Strengthening Customs Enforcement（加强海关执法行政令）</t>
        </is>
      </c>
      <c r="E101" s="2" t="inlineStr">
        <is>
          <t>原产地与转运</t>
        </is>
      </c>
      <c r="F101" s="2" t="inlineStr">
        <is>
          <t>S</t>
        </is>
      </c>
      <c r="G101" s="2" t="n">
        <v>1</v>
      </c>
      <c r="H101" s="2" t="n">
        <v>2</v>
      </c>
      <c r="I101" s="3" t="n">
        <v>2</v>
      </c>
      <c r="J101" s="3" t="n">
        <v>2</v>
      </c>
      <c r="K101" s="2" t="inlineStr">
        <is>
          <t>海关执法行政令，对应非法转运审查维度 ｜ 人工判定与Auto(1)不同，请复核</t>
        </is>
      </c>
      <c r="L101" s="2" t="inlineStr">
        <is>
          <t>美国白宫</t>
        </is>
      </c>
      <c r="M101" s="2" t="inlineStr">
        <is>
          <t>Supply Chain Risk</t>
        </is>
      </c>
      <c r="N101" s="2" t="inlineStr">
        <is>
          <t>supplier_dependency</t>
        </is>
      </c>
      <c r="O101" s="2" t="inlineStr">
        <is>
          <t>CASE_010; CSIS_001; TRD_001; TRD_003; WH_002</t>
        </is>
      </c>
      <c r="P101" s="2" t="inlineStr">
        <is>
          <t>如果公司计划把关键产能集中在泰国或马来西亚，现有证据如何支持对地理集中、非法转运审查和中间品依赖进行联合评估？</t>
        </is>
      </c>
      <c r="Q101" s="2"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row>
    <row r="102">
      <c r="A102" s="2" t="inlineStr">
        <is>
          <t>Q021</t>
        </is>
      </c>
      <c r="B102" s="2" t="n">
        <v>1</v>
      </c>
      <c r="C102" s="2" t="inlineStr">
        <is>
          <t>CASE_010</t>
        </is>
      </c>
      <c r="D102" s="2" t="inlineStr">
        <is>
          <t>白宫点名东南亚为非法转运高风险地区，并推出AI执法工具</t>
        </is>
      </c>
      <c r="E102" s="2" t="inlineStr">
        <is>
          <t>原产地与转运</t>
        </is>
      </c>
      <c r="F102" s="2" t="inlineStr">
        <is>
          <t>S</t>
        </is>
      </c>
      <c r="G102" s="2" t="n">
        <v>2</v>
      </c>
      <c r="H102" s="2" t="n">
        <v>2</v>
      </c>
      <c r="I102" s="3" t="n">
        <v>2</v>
      </c>
      <c r="J102" s="3" t="n">
        <v>2</v>
      </c>
      <c r="K102" s="2" t="inlineStr">
        <is>
          <t>点名东南亚转运高风险，直接</t>
        </is>
      </c>
      <c r="L102" s="2" t="inlineStr">
        <is>
          <t>美国白宫（经律所解读）</t>
        </is>
      </c>
      <c r="M102" s="2" t="inlineStr">
        <is>
          <t>Market Access</t>
        </is>
      </c>
      <c r="N102" s="2" t="inlineStr">
        <is>
          <t>market_access</t>
        </is>
      </c>
      <c r="O102" s="2" t="inlineStr">
        <is>
          <t>CASE_002; CASE_010; CSIS_001; WH_001; WH_002</t>
        </is>
      </c>
      <c r="P102" s="2" t="inlineStr">
        <is>
          <t>我们在越南生产后出口美国，能否仅凭申报的越南原产地降低美国市场准入风险？现有证据对真实组件来源和原产地举证提出了什么警示？</t>
        </is>
      </c>
      <c r="Q102" s="2" t="inlineStr">
        <is>
          <t>审查应重点关注申报原产地是否得到适用法律标准和客观生产证据的支持。 公司应维护制造记录、物料清单、生产流程描述、供应商认证、采购订单、发票、路由文件以及支持重大转型决定的书面法律分析。 当基础生产事实不支持申报的原产地时，仅依赖供应商认证可能不足以应对。 进口商还应评估事先披露、裁定请求、修订原产地分析或加强供应商尽职调查是否适合高风险供应链。 主要要点 报告中的五项独立估计显示，每年非法转运资金流动在400亿至3030亿美元之间，关税收入损失每年达数百亿美元，收入回收潜力足以确保持续的执法关注。 行政命令14411的进口登记、保证和所有权披露要求将在入</t>
        </is>
      </c>
    </row>
    <row r="103">
      <c r="A103" s="2" t="inlineStr">
        <is>
          <t>Q021</t>
        </is>
      </c>
      <c r="B103" s="2" t="n">
        <v>2</v>
      </c>
      <c r="C103" s="2" t="inlineStr">
        <is>
          <t>CSIS_001</t>
        </is>
      </c>
      <c r="D103" s="2" t="inlineStr">
        <is>
          <t>The Visibility Gap: How AI Can Stop Chinese Transshipment Under USMCA</t>
        </is>
      </c>
      <c r="E103" s="2" t="inlineStr">
        <is>
          <t>原产地与转运</t>
        </is>
      </c>
      <c r="F103" s="2" t="inlineStr">
        <is>
          <t>A</t>
        </is>
      </c>
      <c r="G103" s="2" t="n">
        <v>2</v>
      </c>
      <c r="H103" s="2" t="n">
        <v>2</v>
      </c>
      <c r="I103" s="3" t="n">
        <v>2</v>
      </c>
      <c r="J103" s="3" t="n">
        <v>2</v>
      </c>
      <c r="K103" s="2" t="inlineStr">
        <is>
          <t>AI识别虚假原产地，直接</t>
        </is>
      </c>
      <c r="L103" s="2" t="inlineStr">
        <is>
          <t>战略与国际研究中心（CSIS）</t>
        </is>
      </c>
      <c r="M103" s="2" t="inlineStr">
        <is>
          <t>Market Access</t>
        </is>
      </c>
      <c r="N103" s="2" t="inlineStr">
        <is>
          <t>market_access</t>
        </is>
      </c>
      <c r="O103" s="2" t="inlineStr">
        <is>
          <t>CASE_002; CASE_010; CSIS_001; WH_001; WH_002</t>
        </is>
      </c>
      <c r="P103" s="2" t="inlineStr">
        <is>
          <t>我们在越南生产后出口美国，能否仅凭申报的越南原产地降低美国市场准入风险？现有证据对真实组件来源和原产地举证提出了什么警示？</t>
        </is>
      </c>
      <c r="Q103" s="2" t="inlineStr">
        <is>
          <t>Evidence ID: CSIS_001 Title: The Visibility Gap: How AI Can Stop Chinese Transshipment Under USMCA Publisher: 战略与国际研究中心（CSIS） Country/Jurisdiction: US / Federal Publication date: 2026-08 Status: CURRENT Topic: 原产地与转运 Applicability scope: GENERAL Related industries: 通用 Key finding</t>
        </is>
      </c>
    </row>
    <row r="104">
      <c r="A104" s="2" t="inlineStr">
        <is>
          <t>Q021</t>
        </is>
      </c>
      <c r="B104" s="2" t="n">
        <v>3</v>
      </c>
      <c r="C104" s="2" t="inlineStr">
        <is>
          <t>WH_002</t>
        </is>
      </c>
      <c r="D104" s="2" t="inlineStr">
        <is>
          <t>The Great Transshipment Scam: Rise, Scope, and Costs（白宫非法转运报告）</t>
        </is>
      </c>
      <c r="E104" s="2" t="inlineStr">
        <is>
          <t>原产地与转运</t>
        </is>
      </c>
      <c r="F104" s="2" t="inlineStr">
        <is>
          <t>S</t>
        </is>
      </c>
      <c r="G104" s="2" t="n">
        <v>2</v>
      </c>
      <c r="H104" s="2" t="n">
        <v>2</v>
      </c>
      <c r="I104" s="3" t="n">
        <v>2</v>
      </c>
      <c r="J104" s="3" t="n">
        <v>2</v>
      </c>
      <c r="K104" s="2" t="inlineStr">
        <is>
          <t>白宫转运报告，直接</t>
        </is>
      </c>
      <c r="L104" s="2" t="inlineStr">
        <is>
          <t>美国白宫贸易与制造业政策办公室</t>
        </is>
      </c>
      <c r="M104" s="2" t="inlineStr">
        <is>
          <t>Market Access</t>
        </is>
      </c>
      <c r="N104" s="2" t="inlineStr">
        <is>
          <t>market_access</t>
        </is>
      </c>
      <c r="O104" s="2" t="inlineStr">
        <is>
          <t>CASE_002; CASE_010; CSIS_001; WH_001; WH_002</t>
        </is>
      </c>
      <c r="P104" s="2" t="inlineStr">
        <is>
          <t>我们在越南生产后出口美国，能否仅凭申报的越南原产地降低美国市场准入风险？现有证据对真实组件来源和原产地举证提出了什么警示？</t>
        </is>
      </c>
      <c r="Q104"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105">
      <c r="A105" s="2" t="inlineStr">
        <is>
          <t>Q021</t>
        </is>
      </c>
      <c r="B105" s="2" t="n">
        <v>4</v>
      </c>
      <c r="C105" s="2" t="inlineStr">
        <is>
          <t>WH_001</t>
        </is>
      </c>
      <c r="D105" s="2" t="inlineStr">
        <is>
          <t>Executive Order 14411: Strengthening Customs Enforcement（加强海关执法行政令）</t>
        </is>
      </c>
      <c r="E105" s="2" t="inlineStr">
        <is>
          <t>原产地与转运</t>
        </is>
      </c>
      <c r="F105" s="2" t="inlineStr">
        <is>
          <t>S</t>
        </is>
      </c>
      <c r="G105" s="2" t="n">
        <v>2</v>
      </c>
      <c r="H105" s="2" t="n">
        <v>2</v>
      </c>
      <c r="I105" s="3" t="n">
        <v>2</v>
      </c>
      <c r="J105" s="3" t="n">
        <v>2</v>
      </c>
      <c r="K105" s="2" t="inlineStr">
        <is>
          <t>EO14411进口商问责，直接</t>
        </is>
      </c>
      <c r="L105" s="2" t="inlineStr">
        <is>
          <t>美国白宫</t>
        </is>
      </c>
      <c r="M105" s="2" t="inlineStr">
        <is>
          <t>Market Access</t>
        </is>
      </c>
      <c r="N105" s="2" t="inlineStr">
        <is>
          <t>market_access</t>
        </is>
      </c>
      <c r="O105" s="2" t="inlineStr">
        <is>
          <t>CASE_002; CASE_010; CSIS_001; WH_001; WH_002</t>
        </is>
      </c>
      <c r="P105" s="2" t="inlineStr">
        <is>
          <t>我们在越南生产后出口美国，能否仅凭申报的越南原产地降低美国市场准入风险？现有证据对真实组件来源和原产地举证提出了什么警示？</t>
        </is>
      </c>
      <c r="Q105" s="2"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row>
    <row r="106">
      <c r="A106" s="2" t="inlineStr">
        <is>
          <t>Q021</t>
        </is>
      </c>
      <c r="B106" s="2" t="n">
        <v>5</v>
      </c>
      <c r="C106" s="2" t="inlineStr">
        <is>
          <t>CASE_002</t>
        </is>
      </c>
      <c r="D106" s="2" t="inlineStr">
        <is>
          <t>美国对东南亚四国光伏产品反规避认定：视为中国原产并适用对华双反</t>
        </is>
      </c>
      <c r="E106" s="2" t="inlineStr">
        <is>
          <t>反规避</t>
        </is>
      </c>
      <c r="F106" s="2" t="inlineStr">
        <is>
          <t>S</t>
        </is>
      </c>
      <c r="G106" s="2" t="n">
        <v>2</v>
      </c>
      <c r="H106" s="2" t="n">
        <v>2</v>
      </c>
      <c r="I106" s="3" t="n">
        <v>2</v>
      </c>
      <c r="J106" s="3" t="n">
        <v>2</v>
      </c>
      <c r="K106" s="2" t="inlineStr">
        <is>
          <t>仅凭申报原产地仍被认定中国原产，直接</t>
        </is>
      </c>
      <c r="L106" s="2" t="inlineStr">
        <is>
          <t>美国商务部（经律所解读）</t>
        </is>
      </c>
      <c r="M106" s="2" t="inlineStr">
        <is>
          <t>Market Access</t>
        </is>
      </c>
      <c r="N106" s="2" t="inlineStr">
        <is>
          <t>market_access</t>
        </is>
      </c>
      <c r="O106" s="2" t="inlineStr">
        <is>
          <t>CASE_002; CASE_010; CSIS_001; WH_001; WH_002</t>
        </is>
      </c>
      <c r="P106" s="2" t="inlineStr">
        <is>
          <t>我们在越南生产后出口美国，能否仅凭申报的越南原产地降低美国市场准入风险？现有证据对真实组件来源和原产地举证提出了什么警示？</t>
        </is>
      </c>
      <c r="Q106"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107">
      <c r="A107" s="2" t="inlineStr">
        <is>
          <t>Q022</t>
        </is>
      </c>
      <c r="B107" s="2" t="n">
        <v>1</v>
      </c>
      <c r="C107" s="2" t="inlineStr">
        <is>
          <t>BIS_001</t>
        </is>
      </c>
      <c r="D107" s="2" t="inlineStr">
        <is>
          <t>Expansion of End-User Controls to Cover Affiliates of Certain Listed Entities（关联企业规则 / 50%穿透规则，临时最终规则）</t>
        </is>
      </c>
      <c r="E107" s="2" t="inlineStr">
        <is>
          <t>出口管制</t>
        </is>
      </c>
      <c r="F107" s="2" t="inlineStr">
        <is>
          <t>S</t>
        </is>
      </c>
      <c r="G107" s="2" t="n">
        <v>2</v>
      </c>
      <c r="H107" s="2" t="n">
        <v>2</v>
      </c>
      <c r="I107" s="3" t="n">
        <v>2</v>
      </c>
      <c r="J107" s="3" t="n">
        <v>2</v>
      </c>
      <c r="K107" s="2" t="inlineStr">
        <is>
          <t>50%穿透规则原文，直接回答市场准入规则</t>
        </is>
      </c>
      <c r="L107" s="2" t="inlineStr">
        <is>
          <t>美国商务部工业与安全局（BIS）</t>
        </is>
      </c>
      <c r="M107" s="2" t="inlineStr">
        <is>
          <t>Market Access</t>
        </is>
      </c>
      <c r="N107" s="2" t="inlineStr">
        <is>
          <t>export_control</t>
        </is>
      </c>
      <c r="O107" s="2" t="inlineStr">
        <is>
          <t>BIS_001; BIS_002; CASE_009; ITA_001</t>
        </is>
      </c>
      <c r="P107" s="2" t="inlineStr">
        <is>
          <t>一家电池材料企业担心客户或客户关联方被美国限制清单覆盖。哪些证据最适合评估这类市场准入风险？</t>
        </is>
      </c>
      <c r="Q107" s="2" t="inlineStr">
        <is>
          <t>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t>
        </is>
      </c>
    </row>
    <row r="108">
      <c r="A108" s="2" t="inlineStr">
        <is>
          <t>Q022</t>
        </is>
      </c>
      <c r="B108" s="2" t="n">
        <v>2</v>
      </c>
      <c r="C108" s="2" t="inlineStr">
        <is>
          <t>BIS_002</t>
        </is>
      </c>
      <c r="D108" s="2" t="inlineStr">
        <is>
          <t>One Year Suspension of Expansion of End-User Controls for Affiliates of Certain Listed Entities（关联企业规则暂停一年）</t>
        </is>
      </c>
      <c r="E108" s="2" t="inlineStr">
        <is>
          <t>出口管制</t>
        </is>
      </c>
      <c r="F108" s="2" t="inlineStr">
        <is>
          <t>S</t>
        </is>
      </c>
      <c r="G108" s="2" t="n">
        <v>2</v>
      </c>
      <c r="H108" s="2" t="n">
        <v>2</v>
      </c>
      <c r="I108" s="3" t="n">
        <v>2</v>
      </c>
      <c r="J108" s="3" t="n">
        <v>2</v>
      </c>
      <c r="K108" s="2" t="inlineStr">
        <is>
          <t>暂停令，直接回答时间判断</t>
        </is>
      </c>
      <c r="L108" s="2" t="inlineStr">
        <is>
          <t>美国商务部工业与安全局（BIS）</t>
        </is>
      </c>
      <c r="M108" s="2" t="inlineStr">
        <is>
          <t>Market Access</t>
        </is>
      </c>
      <c r="N108" s="2" t="inlineStr">
        <is>
          <t>export_control</t>
        </is>
      </c>
      <c r="O108" s="2" t="inlineStr">
        <is>
          <t>BIS_001; BIS_002; CASE_009; ITA_001</t>
        </is>
      </c>
      <c r="P108" s="2" t="inlineStr">
        <is>
          <t>一家电池材料企业担心客户或客户关联方被美国限制清单覆盖。哪些证据最适合评估这类市场准入风险？</t>
        </is>
      </c>
      <c r="Q108" s="2"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row>
    <row r="109">
      <c r="A109" s="2" t="inlineStr">
        <is>
          <t>Q022</t>
        </is>
      </c>
      <c r="B109" s="2" t="n">
        <v>3</v>
      </c>
      <c r="C109" s="2" t="inlineStr">
        <is>
          <t>CASE_009</t>
        </is>
      </c>
      <c r="D109" s="2" t="inlineStr">
        <is>
          <t>BIS 50%穿透规则：发布→暂停→2026-11-10恢复的完整时间线</t>
        </is>
      </c>
      <c r="E109" s="2" t="inlineStr">
        <is>
          <t>出口管制</t>
        </is>
      </c>
      <c r="F109" s="2" t="inlineStr">
        <is>
          <t>S</t>
        </is>
      </c>
      <c r="G109" s="2" t="n">
        <v>2</v>
      </c>
      <c r="H109" s="2" t="n">
        <v>2</v>
      </c>
      <c r="I109" s="3" t="n">
        <v>2</v>
      </c>
      <c r="J109" s="3" t="n">
        <v>2</v>
      </c>
      <c r="K109" s="2" t="inlineStr">
        <is>
          <t>完整时间线，直接</t>
        </is>
      </c>
      <c r="L109" s="2" t="inlineStr">
        <is>
          <t>美国商务部工业与安全局（BIS）</t>
        </is>
      </c>
      <c r="M109" s="2" t="inlineStr">
        <is>
          <t>Market Access</t>
        </is>
      </c>
      <c r="N109" s="2" t="inlineStr">
        <is>
          <t>export_control</t>
        </is>
      </c>
      <c r="O109" s="2" t="inlineStr">
        <is>
          <t>BIS_001; BIS_002; CASE_009; ITA_001</t>
        </is>
      </c>
      <c r="P109" s="2" t="inlineStr">
        <is>
          <t>一家电池材料企业担心客户或客户关联方被美国限制清单覆盖。哪些证据最适合评估这类市场准入风险？</t>
        </is>
      </c>
      <c r="Q109" s="2"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row>
    <row r="110">
      <c r="A110" s="2" t="inlineStr">
        <is>
          <t>Q022</t>
        </is>
      </c>
      <c r="B110" s="2" t="n">
        <v>4</v>
      </c>
      <c r="C110" s="2" t="inlineStr">
        <is>
          <t>RETURN_001</t>
        </is>
      </c>
      <c r="D110" s="2" t="inlineStr">
        <is>
          <t>恩捷股份 Yunnan Energy New Material (Semcorp)：重新评估 / 回流中国（提高中国生产比例）</t>
        </is>
      </c>
      <c r="E110" s="2" t="inlineStr">
        <is>
          <t>供应链布局</t>
        </is>
      </c>
      <c r="F110" s="2" t="inlineStr">
        <is>
          <t>S</t>
        </is>
      </c>
      <c r="G110" s="2" t="n">
        <v>0</v>
      </c>
      <c r="H110" s="2" t="n">
        <v>2</v>
      </c>
      <c r="I110" s="3" t="n">
        <v>0</v>
      </c>
      <c r="J110" s="3" t="n">
        <v>2</v>
      </c>
      <c r="K110" s="2" t="inlineStr">
        <is>
          <t>企业回流案例，与受限方筛查无关</t>
        </is>
      </c>
      <c r="L110" s="2" t="inlineStr">
        <is>
          <t>恩捷股份公告（经东方财富网 / 央广网报道）</t>
        </is>
      </c>
      <c r="M110" s="2" t="inlineStr">
        <is>
          <t>Market Access</t>
        </is>
      </c>
      <c r="N110" s="2" t="inlineStr">
        <is>
          <t>export_control</t>
        </is>
      </c>
      <c r="O110" s="2" t="inlineStr">
        <is>
          <t>BIS_001; BIS_002; CASE_009; ITA_001</t>
        </is>
      </c>
      <c r="P110" s="2" t="inlineStr">
        <is>
          <t>一家电池材料企业担心客户或客户关联方被美国限制清单覆盖。哪些证据最适合评估这类市场准入风险？</t>
        </is>
      </c>
      <c r="Q110" s="2" t="inlineStr">
        <is>
          <t>## 一、决策前状态（Initial Situation） 生产布局：湿法锂电隔膜产能以中国为主（上海、珠海、无锡等），为全球隔膜龙头。 主要市场：中国 + 海外电池客户（含欧美）。 供应链结构：基膜与涂覆材料主要在中国生产，产品出口海外。 面临的问题：2024 年规划马来西亚隔膜项目（约 10 亿平方米/年、投资约 20 亿元）以求贴近海外客户并规避关税。 ## 二、决策触发（Decision Trigger） 触发类型：cost_change（成本变化） 触发细节：外部市场环境及行业竞争格局发生变化（隔膜价格下行、行业产能过剩、海外建厂成本高于预期）</t>
        </is>
      </c>
    </row>
    <row r="111">
      <c r="A111" s="2" t="inlineStr">
        <is>
          <t>Q022</t>
        </is>
      </c>
      <c r="B111" s="2" t="n">
        <v>5</v>
      </c>
      <c r="C111" s="2" t="inlineStr">
        <is>
          <t>RELOC_006</t>
        </is>
      </c>
      <c r="D111" s="2" t="inlineStr">
        <is>
          <t>蜂巢能源 SVOLT：中国 → 东南亚转移（多地区混合布局）</t>
        </is>
      </c>
      <c r="E111" s="2" t="inlineStr">
        <is>
          <t>供应链布局</t>
        </is>
      </c>
      <c r="F111" s="2" t="inlineStr">
        <is>
          <t>B+</t>
        </is>
      </c>
      <c r="G111" s="2" t="n">
        <v>0</v>
      </c>
      <c r="H111" s="2" t="n">
        <v>1</v>
      </c>
      <c r="I111" s="3" t="n">
        <v>0</v>
      </c>
      <c r="J111" s="3" t="n">
        <v>1</v>
      </c>
      <c r="K111" s="2" t="inlineStr">
        <is>
          <t>企业建厂案例，与受限方筛查无关</t>
        </is>
      </c>
      <c r="L111" s="2" t="inlineStr">
        <is>
          <t>澎湃新闻</t>
        </is>
      </c>
      <c r="M111" s="2" t="inlineStr">
        <is>
          <t>Market Access</t>
        </is>
      </c>
      <c r="N111" s="2" t="inlineStr">
        <is>
          <t>export_control</t>
        </is>
      </c>
      <c r="O111" s="2" t="inlineStr">
        <is>
          <t>BIS_001; BIS_002; CASE_009; ITA_001</t>
        </is>
      </c>
      <c r="P111" s="2" t="inlineStr">
        <is>
          <t>一家电池材料企业担心客户或客户关联方被美国限制清单覆盖。哪些证据最适合评估这类市场准入风险？</t>
        </is>
      </c>
      <c r="Q111" s="2" t="inlineStr">
        <is>
          <t>## 三、实际决策（Actual Decision） 决策分类：多地区混合布局 决策内容：在泰国春武里府是拉差市建设电池工厂（模组 PACK + 电芯），2024-02-28 正式投产并批量交付，配套长城欧拉、合众/哪吒等中国车企在泰车型；当年计划交付超 2 万套 PACK；中国产能保留。 ## 四、相关风险（Related Risk） 风险类别：Trade Risk; Market Access Risk; Operational Risk ## 五、后续结果（Outcome） 成本影响：本地 PACK 组装降低关税与物流成本，投资规模小于整线电芯厂。</t>
        </is>
      </c>
    </row>
    <row r="112">
      <c r="A112" s="2" t="inlineStr">
        <is>
          <t>Q023</t>
        </is>
      </c>
      <c r="B112" s="2" t="n">
        <v>1</v>
      </c>
      <c r="C112" s="2" t="inlineStr">
        <is>
          <t>DOC_001</t>
        </is>
      </c>
      <c r="D112" s="2" t="inlineStr">
        <is>
          <t>Final Circumvention Determinations: Crystalline Silicon Photovoltaic Cells from Cambodia, Malaysia, Thailand and Vietnam（东南亚四国光伏反规避终裁）</t>
        </is>
      </c>
      <c r="E112" s="2" t="inlineStr">
        <is>
          <t>反规避</t>
        </is>
      </c>
      <c r="F112" s="2" t="inlineStr">
        <is>
          <t>S</t>
        </is>
      </c>
      <c r="G112" s="2" t="n">
        <v>2</v>
      </c>
      <c r="H112" s="2" t="n">
        <v>2</v>
      </c>
      <c r="I112" s="3" t="n">
        <v>2</v>
      </c>
      <c r="J112" s="3" t="n">
        <v>2</v>
      </c>
      <c r="K112" s="2" t="inlineStr">
        <is>
          <t>官方反规避终裁原文，直接</t>
        </is>
      </c>
      <c r="L112" s="2" t="inlineStr">
        <is>
          <t>美国商务部</t>
        </is>
      </c>
      <c r="M112" s="2" t="inlineStr">
        <is>
          <t>Market Access</t>
        </is>
      </c>
      <c r="N112" s="2" t="inlineStr">
        <is>
          <t>market_access</t>
        </is>
      </c>
      <c r="O112" s="2" t="inlineStr">
        <is>
          <t>CASE_002; CASE_003; CASE_010; DOC_001; WH_002</t>
        </is>
      </c>
      <c r="P112" s="2" t="inlineStr">
        <is>
          <t>我们考虑在泰国或越南建立面向美国市场的生产基地。光伏反规避案例对‘海外生产即可获得美国市场准入’这一判断有什么借鉴？</t>
        </is>
      </c>
      <c r="Q112" s="2" t="inlineStr">
        <is>
          <t>Evidence ID: DOC_001 Title: Final Circumvention Determinations: Crystalline Silicon Photovoltaic Cells from Cambodia, Malaysia, Thailand and Vietnam（东南亚四国光伏反规避终裁） Publisher: 美国商务部 Country/Jurisdiction: US / Federal Publication date: 2023-08-23 Status: CURRENT Topic: 反规避 Applicabi</t>
        </is>
      </c>
    </row>
    <row r="113">
      <c r="A113" s="2" t="inlineStr">
        <is>
          <t>Q023</t>
        </is>
      </c>
      <c r="B113" s="2" t="n">
        <v>2</v>
      </c>
      <c r="C113" s="2" t="inlineStr">
        <is>
          <t>CASE_002</t>
        </is>
      </c>
      <c r="D113" s="2" t="inlineStr">
        <is>
          <t>美国对东南亚四国光伏产品反规避认定：视为中国原产并适用对华双反</t>
        </is>
      </c>
      <c r="E113" s="2" t="inlineStr">
        <is>
          <t>反规避</t>
        </is>
      </c>
      <c r="F113" s="2" t="inlineStr">
        <is>
          <t>S</t>
        </is>
      </c>
      <c r="G113" s="2" t="n">
        <v>2</v>
      </c>
      <c r="H113" s="2" t="n">
        <v>2</v>
      </c>
      <c r="I113" s="3" t="n">
        <v>2</v>
      </c>
      <c r="J113" s="3" t="n">
        <v>2</v>
      </c>
      <c r="K113" s="2" t="inlineStr">
        <is>
          <t>“认定规避”判例，直接</t>
        </is>
      </c>
      <c r="L113" s="2" t="inlineStr">
        <is>
          <t>美国商务部（经律所解读）</t>
        </is>
      </c>
      <c r="M113" s="2" t="inlineStr">
        <is>
          <t>Market Access</t>
        </is>
      </c>
      <c r="N113" s="2" t="inlineStr">
        <is>
          <t>market_access</t>
        </is>
      </c>
      <c r="O113" s="2" t="inlineStr">
        <is>
          <t>CASE_002; CASE_003; CASE_010; DOC_001; WH_002</t>
        </is>
      </c>
      <c r="P113" s="2" t="inlineStr">
        <is>
          <t>我们考虑在泰国或越南建立面向美国市场的生产基地。光伏反规避案例对‘海外生产即可获得美国市场准入’这一判断有什么借鉴？</t>
        </is>
      </c>
      <c r="Q113"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114">
      <c r="A114" s="2" t="inlineStr">
        <is>
          <t>Q023</t>
        </is>
      </c>
      <c r="B114" s="2" t="n">
        <v>3</v>
      </c>
      <c r="C114" s="2" t="inlineStr">
        <is>
          <t>CASE_003</t>
        </is>
      </c>
      <c r="D114" s="2" t="inlineStr">
        <is>
          <t>同一反规避调查中被认定“未规避”的企业（Hanwha、Jinko马来西亚、Boviet越南）</t>
        </is>
      </c>
      <c r="E114" s="2" t="inlineStr">
        <is>
          <t>反规避</t>
        </is>
      </c>
      <c r="F114" s="2" t="inlineStr">
        <is>
          <t>S</t>
        </is>
      </c>
      <c r="G114" s="2" t="n">
        <v>2</v>
      </c>
      <c r="H114" s="2" t="n">
        <v>2</v>
      </c>
      <c r="I114" s="3" t="n">
        <v>2</v>
      </c>
      <c r="J114" s="3" t="n">
        <v>2</v>
      </c>
      <c r="K114" s="2" t="inlineStr">
        <is>
          <t>“未规避”判例，直接对照</t>
        </is>
      </c>
      <c r="L114" s="2" t="inlineStr">
        <is>
          <t>美国商务部（经律所解读）</t>
        </is>
      </c>
      <c r="M114" s="2" t="inlineStr">
        <is>
          <t>Market Access</t>
        </is>
      </c>
      <c r="N114" s="2" t="inlineStr">
        <is>
          <t>market_access</t>
        </is>
      </c>
      <c r="O114" s="2" t="inlineStr">
        <is>
          <t>CASE_002; CASE_003; CASE_010; DOC_001; WH_002</t>
        </is>
      </c>
      <c r="P114" s="2" t="inlineStr">
        <is>
          <t>我们考虑在泰国或越南建立面向美国市场的生产基地。光伏反规避案例对‘海外生产即可获得美国市场准入’这一判断有什么借鉴？</t>
        </is>
      </c>
      <c r="Q114" s="2"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row>
    <row r="115">
      <c r="A115" s="2" t="inlineStr">
        <is>
          <t>Q023</t>
        </is>
      </c>
      <c r="B115" s="2" t="n">
        <v>4</v>
      </c>
      <c r="C115" s="2" t="inlineStr">
        <is>
          <t>WH_002</t>
        </is>
      </c>
      <c r="D115" s="2" t="inlineStr">
        <is>
          <t>The Great Transshipment Scam: Rise, Scope, and Costs（白宫非法转运报告）</t>
        </is>
      </c>
      <c r="E115" s="2" t="inlineStr">
        <is>
          <t>原产地与转运</t>
        </is>
      </c>
      <c r="F115" s="2" t="inlineStr">
        <is>
          <t>S</t>
        </is>
      </c>
      <c r="G115" s="2" t="n">
        <v>2</v>
      </c>
      <c r="H115" s="2" t="n">
        <v>2</v>
      </c>
      <c r="I115" s="3" t="n">
        <v>2</v>
      </c>
      <c r="J115" s="3" t="n">
        <v>2</v>
      </c>
      <c r="K115" s="2" t="inlineStr">
        <is>
          <t>转运执法，直接</t>
        </is>
      </c>
      <c r="L115" s="2" t="inlineStr">
        <is>
          <t>美国白宫贸易与制造业政策办公室</t>
        </is>
      </c>
      <c r="M115" s="2" t="inlineStr">
        <is>
          <t>Market Access</t>
        </is>
      </c>
      <c r="N115" s="2" t="inlineStr">
        <is>
          <t>market_access</t>
        </is>
      </c>
      <c r="O115" s="2" t="inlineStr">
        <is>
          <t>CASE_002; CASE_003; CASE_010; DOC_001; WH_002</t>
        </is>
      </c>
      <c r="P115" s="2" t="inlineStr">
        <is>
          <t>我们考虑在泰国或越南建立面向美国市场的生产基地。光伏反规避案例对‘海外生产即可获得美国市场准入’这一判断有什么借鉴？</t>
        </is>
      </c>
      <c r="Q115"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116">
      <c r="A116" s="2" t="inlineStr">
        <is>
          <t>Q023</t>
        </is>
      </c>
      <c r="B116" s="2" t="n">
        <v>5</v>
      </c>
      <c r="C116" s="2" t="inlineStr">
        <is>
          <t>CASE_010</t>
        </is>
      </c>
      <c r="D116" s="2" t="inlineStr">
        <is>
          <t>白宫点名东南亚为非法转运高风险地区，并推出AI执法工具</t>
        </is>
      </c>
      <c r="E116" s="2" t="inlineStr">
        <is>
          <t>原产地与转运</t>
        </is>
      </c>
      <c r="F116" s="2" t="inlineStr">
        <is>
          <t>S</t>
        </is>
      </c>
      <c r="G116" s="2" t="n">
        <v>2</v>
      </c>
      <c r="H116" s="2" t="n">
        <v>2</v>
      </c>
      <c r="I116" s="3" t="n">
        <v>2</v>
      </c>
      <c r="J116" s="3" t="n">
        <v>2</v>
      </c>
      <c r="K116" s="2" t="inlineStr">
        <is>
          <t>东南亚转运高风险，直接</t>
        </is>
      </c>
      <c r="L116" s="2" t="inlineStr">
        <is>
          <t>美国白宫（经律所解读）</t>
        </is>
      </c>
      <c r="M116" s="2" t="inlineStr">
        <is>
          <t>Market Access</t>
        </is>
      </c>
      <c r="N116" s="2" t="inlineStr">
        <is>
          <t>market_access</t>
        </is>
      </c>
      <c r="O116" s="2" t="inlineStr">
        <is>
          <t>CASE_002; CASE_003; CASE_010; DOC_001; WH_002</t>
        </is>
      </c>
      <c r="P116" s="2" t="inlineStr">
        <is>
          <t>我们考虑在泰国或越南建立面向美国市场的生产基地。光伏反规避案例对‘海外生产即可获得美国市场准入’这一判断有什么借鉴？</t>
        </is>
      </c>
      <c r="Q116" s="2" t="inlineStr">
        <is>
          <t>专业领域 税务 全球贸易 2026年8月13日 转运执法加紧 白宫报告《 大转运骗局 》将非法转运列为主要的关税规避风险，估计年流动额在400亿美元至3030亿美元之间，并宣布扩大使用分析和人工智能工具以识别虚假原产地索赔。 结合行政命令14411收紧的进口商问责要求，依赖供应商声明却未能证明实质性转变发生地点的进口商面临更多关税、处罚、拘留、EAPA行动及可能的刑事执法举报风险。 什么是转运？ 转运通常指通过中介国转运货物，以隐藏其真实产地并获得更优惠的关税待遇。 合法的供应链可能涉及多个国家，但当货物仅被重新标记、重新包装、重新开票、进行轻微加工，或</t>
        </is>
      </c>
    </row>
    <row r="117">
      <c r="A117" s="2" t="inlineStr">
        <is>
          <t>Q024</t>
        </is>
      </c>
      <c r="B117" s="2" t="n">
        <v>1</v>
      </c>
      <c r="C117" s="2" t="inlineStr">
        <is>
          <t>CASE_010</t>
        </is>
      </c>
      <c r="D117" s="2" t="inlineStr">
        <is>
          <t>白宫点名东南亚为非法转运高风险地区，并推出AI执法工具</t>
        </is>
      </c>
      <c r="E117" s="2" t="inlineStr">
        <is>
          <t>原产地与转运</t>
        </is>
      </c>
      <c r="F117" s="2" t="inlineStr">
        <is>
          <t>S</t>
        </is>
      </c>
      <c r="G117" s="2" t="n">
        <v>2</v>
      </c>
      <c r="H117" s="2" t="n">
        <v>2</v>
      </c>
      <c r="I117" s="3" t="n">
        <v>2</v>
      </c>
      <c r="J117" s="3" t="n">
        <v>2</v>
      </c>
      <c r="K117" s="2" t="inlineStr">
        <is>
          <t>准入风险侧，直接</t>
        </is>
      </c>
      <c r="L117" s="2" t="inlineStr">
        <is>
          <t>美国白宫（经律所解读）</t>
        </is>
      </c>
      <c r="M117" s="2" t="inlineStr">
        <is>
          <t>Market Access</t>
        </is>
      </c>
      <c r="N117" s="2" t="inlineStr">
        <is>
          <t>market_access</t>
        </is>
      </c>
      <c r="O117" s="2" t="inlineStr">
        <is>
          <t>CASE_007; CASE_008; CASE_010; CSIS_001; WH_001; WH_002; RELOC_004; RELOC_006</t>
        </is>
      </c>
      <c r="P117" s="2" t="inlineStr">
        <is>
          <t>董事会想比较东南亚布局带来的市场准入机会与美国强化转运执法带来的风险。现有证据库中哪些政策和企业案例应一起看？</t>
        </is>
      </c>
      <c r="Q117" s="2"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row>
    <row r="118">
      <c r="A118" s="2" t="inlineStr">
        <is>
          <t>Q024</t>
        </is>
      </c>
      <c r="B118" s="2" t="n">
        <v>2</v>
      </c>
      <c r="C118" s="2" t="inlineStr">
        <is>
          <t>WH_002</t>
        </is>
      </c>
      <c r="D118" s="2" t="inlineStr">
        <is>
          <t>The Great Transshipment Scam: Rise, Scope, and Costs（白宫非法转运报告）</t>
        </is>
      </c>
      <c r="E118" s="2" t="inlineStr">
        <is>
          <t>原产地与转运</t>
        </is>
      </c>
      <c r="F118" s="2" t="inlineStr">
        <is>
          <t>S</t>
        </is>
      </c>
      <c r="G118" s="2" t="n">
        <v>2</v>
      </c>
      <c r="H118" s="2" t="n">
        <v>2</v>
      </c>
      <c r="I118" s="3" t="n">
        <v>2</v>
      </c>
      <c r="J118" s="3" t="n">
        <v>2</v>
      </c>
      <c r="K118" s="2" t="inlineStr">
        <is>
          <t>准入风险侧，直接</t>
        </is>
      </c>
      <c r="L118" s="2" t="inlineStr">
        <is>
          <t>美国白宫贸易与制造业政策办公室</t>
        </is>
      </c>
      <c r="M118" s="2" t="inlineStr">
        <is>
          <t>Market Access</t>
        </is>
      </c>
      <c r="N118" s="2" t="inlineStr">
        <is>
          <t>market_access</t>
        </is>
      </c>
      <c r="O118" s="2" t="inlineStr">
        <is>
          <t>CASE_007; CASE_008; CASE_010; CSIS_001; WH_001; WH_002; RELOC_004; RELOC_006</t>
        </is>
      </c>
      <c r="P118" s="2" t="inlineStr">
        <is>
          <t>董事会想比较东南亚布局带来的市场准入机会与美国强化转运执法带来的风险。现有证据库中哪些政策和企业案例应一起看？</t>
        </is>
      </c>
      <c r="Q118"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119">
      <c r="A119" s="2" t="inlineStr">
        <is>
          <t>Q024</t>
        </is>
      </c>
      <c r="B119" s="2" t="n">
        <v>3</v>
      </c>
      <c r="C119" s="2" t="inlineStr">
        <is>
          <t>WH_001</t>
        </is>
      </c>
      <c r="D119" s="2" t="inlineStr">
        <is>
          <t>Executive Order 14411: Strengthening Customs Enforcement（加强海关执法行政令）</t>
        </is>
      </c>
      <c r="E119" s="2" t="inlineStr">
        <is>
          <t>原产地与转运</t>
        </is>
      </c>
      <c r="F119" s="2" t="inlineStr">
        <is>
          <t>S</t>
        </is>
      </c>
      <c r="G119" s="2" t="n">
        <v>2</v>
      </c>
      <c r="H119" s="2" t="n">
        <v>2</v>
      </c>
      <c r="I119" s="3" t="n">
        <v>2</v>
      </c>
      <c r="J119" s="3" t="n">
        <v>2</v>
      </c>
      <c r="K119" s="2" t="inlineStr">
        <is>
          <t>准入风险侧，直接</t>
        </is>
      </c>
      <c r="L119" s="2" t="inlineStr">
        <is>
          <t>美国白宫</t>
        </is>
      </c>
      <c r="M119" s="2" t="inlineStr">
        <is>
          <t>Market Access</t>
        </is>
      </c>
      <c r="N119" s="2" t="inlineStr">
        <is>
          <t>market_access</t>
        </is>
      </c>
      <c r="O119" s="2" t="inlineStr">
        <is>
          <t>CASE_007; CASE_008; CASE_010; CSIS_001; WH_001; WH_002; RELOC_004; RELOC_006</t>
        </is>
      </c>
      <c r="P119" s="2" t="inlineStr">
        <is>
          <t>董事会想比较东南亚布局带来的市场准入机会与美国强化转运执法带来的风险。现有证据库中哪些政策和企业案例应一起看？</t>
        </is>
      </c>
      <c r="Q119" s="2"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row>
    <row r="120">
      <c r="A120" s="2" t="inlineStr">
        <is>
          <t>Q024</t>
        </is>
      </c>
      <c r="B120" s="2" t="n">
        <v>4</v>
      </c>
      <c r="C120" s="2" t="inlineStr">
        <is>
          <t>RELOC_005</t>
        </is>
      </c>
      <c r="D120" s="2" t="inlineStr">
        <is>
          <t>欣旺达 Sunwoda：中国 → 东南亚转移（多地区混合布局）</t>
        </is>
      </c>
      <c r="E120" s="2" t="inlineStr">
        <is>
          <t>供应链布局</t>
        </is>
      </c>
      <c r="F120" s="2" t="inlineStr">
        <is>
          <t>B+</t>
        </is>
      </c>
      <c r="G120" s="2" t="n">
        <v>0</v>
      </c>
      <c r="H120" s="2" t="n">
        <v>1</v>
      </c>
      <c r="I120" s="3" t="n">
        <v>1</v>
      </c>
      <c r="J120" s="3" t="n">
        <v>1</v>
      </c>
      <c r="K120" s="2" t="inlineStr">
        <is>
          <t>越南建厂案例，机会侧间接佐证 ｜ 人工判定与Auto(0)不同，请复核</t>
        </is>
      </c>
      <c r="L120" s="2" t="inlineStr">
        <is>
          <t>东方财富网 / 腾讯新闻</t>
        </is>
      </c>
      <c r="M120" s="2" t="inlineStr">
        <is>
          <t>Market Access</t>
        </is>
      </c>
      <c r="N120" s="2" t="inlineStr">
        <is>
          <t>market_access</t>
        </is>
      </c>
      <c r="O120" s="2" t="inlineStr">
        <is>
          <t>CASE_007; CASE_008; CASE_010; CSIS_001; WH_001; WH_002; RELOC_004; RELOC_006</t>
        </is>
      </c>
      <c r="P120" s="2" t="inlineStr">
        <is>
          <t>董事会想比较东南亚布局带来的市场准入机会与美国强化转运执法带来的风险。现有证据库中哪些政策和企业案例应一起看？</t>
        </is>
      </c>
      <c r="Q120" s="2" t="inlineStr">
        <is>
          <t>## 二、决策触发（Decision Trigger） 触发类型：tariff_pressure（关税压力） 触发细节：美国对华加征关税及客户'中国+1'采购要求，推动消费类电芯产线外移。 ## 三、实际决策（Actual Decision） 决策分类：多地区混合布局 决策内容：2024-07-15 公告拟通过下属子公司香港欣威设立越南锂威有限公司，投建越南锂威消费类锂电池工厂项目，投资总额不超过 20 亿元人民币；2026-08 公司表示越南消费类电芯生产基地预计 2026 年底投产。中国产能保留。 ## 四、相关风险（Related Risk） 风险</t>
        </is>
      </c>
    </row>
    <row r="121">
      <c r="A121" s="2" t="inlineStr">
        <is>
          <t>Q024</t>
        </is>
      </c>
      <c r="B121" s="2" t="n">
        <v>5</v>
      </c>
      <c r="C121" s="2" t="inlineStr">
        <is>
          <t>RELOC_002</t>
        </is>
      </c>
      <c r="D121" s="2" t="inlineStr">
        <is>
          <t>长安汽车 Changan Automobile：中国 → 东南亚转移（多地区混合布局）</t>
        </is>
      </c>
      <c r="E121" s="2" t="inlineStr">
        <is>
          <t>供应链布局</t>
        </is>
      </c>
      <c r="F121" s="2" t="inlineStr">
        <is>
          <t>S</t>
        </is>
      </c>
      <c r="G121" s="2" t="n">
        <v>0</v>
      </c>
      <c r="H121" s="2" t="n">
        <v>2</v>
      </c>
      <c r="I121" s="3" t="n">
        <v>1</v>
      </c>
      <c r="J121" s="3" t="n">
        <v>2</v>
      </c>
      <c r="K121" s="2" t="inlineStr">
        <is>
          <t>泰国建厂案例，机会侧间接佐证 ｜ 人工判定与Auto(0)不同，请复核</t>
        </is>
      </c>
      <c r="L121" s="2" t="inlineStr">
        <is>
          <t>易车 / 证券之星（投资者互动平台）</t>
        </is>
      </c>
      <c r="M121" s="2" t="inlineStr">
        <is>
          <t>Market Access</t>
        </is>
      </c>
      <c r="N121" s="2" t="inlineStr">
        <is>
          <t>market_access</t>
        </is>
      </c>
      <c r="O121" s="2" t="inlineStr">
        <is>
          <t>CASE_007; CASE_008; CASE_010; CSIS_001; WH_001; WH_002; RELOC_004; RELOC_006</t>
        </is>
      </c>
      <c r="P121" s="2" t="inlineStr">
        <is>
          <t>董事会想比较东南亚布局带来的市场准入机会与美国强化转运执法带来的风险。现有证据库中哪些政策和企业案例应一起看？</t>
        </is>
      </c>
      <c r="Q121" s="2" t="inlineStr">
        <is>
          <t>## 二、决策触发（Decision Trigger） 触发类型：market_access（市场准入） 触发细节：泰国 EV3.5 补贴政策要求本地生产，才能享受补贴与关税优惠。 ## 三、实际决策（Actual Decision） 决策分类：多地区混合布局 决策内容：在泰国罗勇府建设整车工厂，2025-05-16 竣工投产，全球累计第 2859 万辆（深蓝 S05）在泰下线；中国产能保留。 ## 四、相关风险（Related Risk） 风险类别：Trade Risk; Market Access Risk; Operational Risk ##</t>
        </is>
      </c>
    </row>
    <row r="122">
      <c r="A122" s="2" t="inlineStr">
        <is>
          <t>Q025</t>
        </is>
      </c>
      <c r="B122" s="2" t="n">
        <v>1</v>
      </c>
      <c r="C122" s="2" t="inlineStr">
        <is>
          <t>UNCTAD_001</t>
        </is>
      </c>
      <c r="D122" s="2" t="inlineStr">
        <is>
          <t>World Investment Report 2026: International Investment in a Turbulent Era</t>
        </is>
      </c>
      <c r="E122" s="2" t="inlineStr">
        <is>
          <t>对外投资</t>
        </is>
      </c>
      <c r="F122" s="2" t="inlineStr">
        <is>
          <t>A+</t>
        </is>
      </c>
      <c r="G122" s="2" t="n">
        <v>2</v>
      </c>
      <c r="H122" s="2" t="n">
        <v>2</v>
      </c>
      <c r="I122" s="3" t="n">
        <v>2</v>
      </c>
      <c r="J122" s="3" t="n">
        <v>2</v>
      </c>
      <c r="K122" s="2" t="inlineStr">
        <is>
          <t>全球投资趋势，直接</t>
        </is>
      </c>
      <c r="L122" s="2" t="inlineStr">
        <is>
          <t>联合国贸易和发展会议（UNCTAD）</t>
        </is>
      </c>
      <c r="M122" s="2" t="inlineStr">
        <is>
          <t>Market Access</t>
        </is>
      </c>
      <c r="N122" s="2" t="inlineStr">
        <is>
          <t>trade_policy</t>
        </is>
      </c>
      <c r="O122" s="2" t="inlineStr">
        <is>
          <t>IMF_001; MCK_001; UNCTAD_001; WEF_001; WTO_001</t>
        </is>
      </c>
      <c r="P122" s="2" t="inlineStr">
        <is>
          <t>如果全球贸易增速放缓、跨境投资更加偏向战略行业，公司进入海外市场时应如何理解外部需求与投资环境？哪些宏观证据最相关？</t>
        </is>
      </c>
      <c r="Q122" s="2" t="inlineStr">
        <is>
          <t>Evidence ID: UNCTAD_001 Title: World Investment Report 2026: International Investment in a Turbulent Era Publisher: 联合国贸易和发展会议（UNCTAD） Country/Jurisdiction: 全球 Publication date: 2026-07-07 Status: CURRENT Topic: 对外投资 Applicability scope: GENERAL Related industries: 通用 Key finding</t>
        </is>
      </c>
    </row>
    <row r="123">
      <c r="A123" s="2" t="inlineStr">
        <is>
          <t>Q025</t>
        </is>
      </c>
      <c r="B123" s="2" t="n">
        <v>2</v>
      </c>
      <c r="C123" s="2" t="inlineStr">
        <is>
          <t>WTO_001</t>
        </is>
      </c>
      <c r="D123" s="2" t="inlineStr">
        <is>
          <t>Global Trade Outlook and Statistics（2026年3月版）</t>
        </is>
      </c>
      <c r="E123" s="2" t="inlineStr">
        <is>
          <t>贸易流</t>
        </is>
      </c>
      <c r="F123" s="2" t="inlineStr">
        <is>
          <t>A+</t>
        </is>
      </c>
      <c r="G123" s="2" t="n">
        <v>2</v>
      </c>
      <c r="H123" s="2" t="n">
        <v>2</v>
      </c>
      <c r="I123" s="3" t="n">
        <v>2</v>
      </c>
      <c r="J123" s="3" t="n">
        <v>2</v>
      </c>
      <c r="K123" s="2" t="inlineStr">
        <is>
          <t>贸易增速放缓，直接</t>
        </is>
      </c>
      <c r="L123" s="2" t="inlineStr">
        <is>
          <t>世界贸易组织（WTO）</t>
        </is>
      </c>
      <c r="M123" s="2" t="inlineStr">
        <is>
          <t>Market Access</t>
        </is>
      </c>
      <c r="N123" s="2" t="inlineStr">
        <is>
          <t>trade_policy</t>
        </is>
      </c>
      <c r="O123" s="2" t="inlineStr">
        <is>
          <t>IMF_001; MCK_001; UNCTAD_001; WEF_001; WTO_001</t>
        </is>
      </c>
      <c r="P123" s="2" t="inlineStr">
        <is>
          <t>如果全球贸易增速放缓、跨境投资更加偏向战略行业，公司进入海外市场时应如何理解外部需求与投资环境？哪些宏观证据最相关？</t>
        </is>
      </c>
      <c r="Q123" s="2" t="inlineStr">
        <is>
          <t>Evidence ID: WTO_001 Title: Global Trade Outlook and Statistics（2026年3月版） Publisher: 世界贸易组织（WTO） Country/Jurisdiction: 全球 Publication date: 2026-03 Status: CURRENT Topic: 贸易流 Applicability scope: GENERAL Related industries: 通用 Key finding: 基准情景下2026年货物贸易量增速由2025年的4.6%放缓至1.9%。 Glo</t>
        </is>
      </c>
    </row>
    <row r="124">
      <c r="A124" s="2" t="inlineStr">
        <is>
          <t>Q025</t>
        </is>
      </c>
      <c r="B124" s="2" t="n">
        <v>3</v>
      </c>
      <c r="C124" s="2" t="inlineStr">
        <is>
          <t>IMF_001</t>
        </is>
      </c>
      <c r="D124" s="2" t="inlineStr">
        <is>
          <t>World Economic Outlook, April 2023, Chapter 4: Geoeconomic Fragmentation and Foreign Direct Investment</t>
        </is>
      </c>
      <c r="E124" s="2" t="inlineStr">
        <is>
          <t>对外投资</t>
        </is>
      </c>
      <c r="F124" s="2" t="inlineStr">
        <is>
          <t>A+</t>
        </is>
      </c>
      <c r="G124" s="2" t="n">
        <v>2</v>
      </c>
      <c r="H124" s="2" t="n">
        <v>2</v>
      </c>
      <c r="I124" s="3" t="n">
        <v>2</v>
      </c>
      <c r="J124" s="3" t="n">
        <v>2</v>
      </c>
      <c r="K124" s="2" t="inlineStr">
        <is>
          <t>外部需求框架，直接</t>
        </is>
      </c>
      <c r="L124" s="2" t="inlineStr">
        <is>
          <t>国际货币基金组织（IMF）</t>
        </is>
      </c>
      <c r="M124" s="2" t="inlineStr">
        <is>
          <t>Market Access</t>
        </is>
      </c>
      <c r="N124" s="2" t="inlineStr">
        <is>
          <t>trade_policy</t>
        </is>
      </c>
      <c r="O124" s="2" t="inlineStr">
        <is>
          <t>IMF_001; MCK_001; UNCTAD_001; WEF_001; WTO_001</t>
        </is>
      </c>
      <c r="P124" s="2" t="inlineStr">
        <is>
          <t>如果全球贸易增速放缓、跨境投资更加偏向战略行业，公司进入海外市场时应如何理解外部需求与投资环境？哪些宏观证据最相关？</t>
        </is>
      </c>
      <c r="Q124" s="2" t="inlineStr">
        <is>
          <t>Evidence ID: IMF_001 Title: World Economic Outlook, April 2023, Chapter 4: Geoeconomic Fragmentation and Foreign Direct Investment Publisher: 国际货币基金组织（IMF） Country/Jurisdiction: 全球 Publication date: 2023-04 Status: CURRENT Topic: 对外投资 Applicability scope: GENERAL Related industri</t>
        </is>
      </c>
    </row>
    <row r="125">
      <c r="A125" s="2" t="inlineStr">
        <is>
          <t>Q025</t>
        </is>
      </c>
      <c r="B125" s="2" t="n">
        <v>4</v>
      </c>
      <c r="C125" s="2" t="inlineStr">
        <is>
          <t>WEF_001</t>
        </is>
      </c>
      <c r="D125" s="2" t="inlineStr">
        <is>
          <t>Global Risks Report 2026（全球风险报告2026，第21版）</t>
        </is>
      </c>
      <c r="E125" s="2" t="inlineStr">
        <is>
          <t>宏观风险</t>
        </is>
      </c>
      <c r="F125" s="2" t="inlineStr">
        <is>
          <t>A+</t>
        </is>
      </c>
      <c r="G125" s="2" t="n">
        <v>2</v>
      </c>
      <c r="H125" s="2" t="n">
        <v>2</v>
      </c>
      <c r="I125" s="3" t="n">
        <v>2</v>
      </c>
      <c r="J125" s="3" t="n">
        <v>2</v>
      </c>
      <c r="K125" s="2" t="inlineStr">
        <is>
          <t>首要风险与不确定性，直接</t>
        </is>
      </c>
      <c r="L125" s="2" t="inlineStr">
        <is>
          <t>世界经济论坛（WEF）</t>
        </is>
      </c>
      <c r="M125" s="2" t="inlineStr">
        <is>
          <t>Market Access</t>
        </is>
      </c>
      <c r="N125" s="2" t="inlineStr">
        <is>
          <t>trade_policy</t>
        </is>
      </c>
      <c r="O125" s="2" t="inlineStr">
        <is>
          <t>IMF_001; MCK_001; UNCTAD_001; WEF_001; WTO_001</t>
        </is>
      </c>
      <c r="P125" s="2" t="inlineStr">
        <is>
          <t>如果全球贸易增速放缓、跨境投资更加偏向战略行业，公司进入海外市场时应如何理解外部需求与投资环境？哪些宏观证据最相关？</t>
        </is>
      </c>
      <c r="Q125" s="2" t="inlineStr">
        <is>
          <t>Evidence ID: WEF_001 Title: Global Risks Report 2026（全球风险报告2026，第21版） Publisher: 世界经济论坛（WEF） Country/Jurisdiction: 全球 Publication date: 2026-01-14 Status: CURRENT Topic: 宏观风险 Applicability scope: GENERAL Related industries: 通用 Key finding: 地缘经济对抗列为2026年首要风险。仅作PPT背景。</t>
        </is>
      </c>
    </row>
    <row r="126">
      <c r="A126" s="2" t="inlineStr">
        <is>
          <t>Q025</t>
        </is>
      </c>
      <c r="B126" s="2" t="n">
        <v>5</v>
      </c>
      <c r="C126" s="2" t="inlineStr">
        <is>
          <t>MCK_001</t>
        </is>
      </c>
      <c r="D126" s="2" t="inlineStr">
        <is>
          <t>The art, science, and technology of geopolitical scenario planning</t>
        </is>
      </c>
      <c r="E126" s="2" t="inlineStr">
        <is>
          <t>宏观风险</t>
        </is>
      </c>
      <c r="F126" s="2" t="inlineStr">
        <is>
          <t>A</t>
        </is>
      </c>
      <c r="G126" s="2" t="n">
        <v>2</v>
      </c>
      <c r="H126" s="2" t="n">
        <v>2</v>
      </c>
      <c r="I126" s="3" t="n">
        <v>2</v>
      </c>
      <c r="J126" s="3" t="n">
        <v>2</v>
      </c>
      <c r="K126" s="2" t="inlineStr">
        <is>
          <t>地缘政治情景规划，直接</t>
        </is>
      </c>
      <c r="L126" s="2" t="inlineStr">
        <is>
          <t>麦肯锡（McKinsey）</t>
        </is>
      </c>
      <c r="M126" s="2" t="inlineStr">
        <is>
          <t>Market Access</t>
        </is>
      </c>
      <c r="N126" s="2" t="inlineStr">
        <is>
          <t>trade_policy</t>
        </is>
      </c>
      <c r="O126" s="2" t="inlineStr">
        <is>
          <t>IMF_001; MCK_001; UNCTAD_001; WEF_001; WTO_001</t>
        </is>
      </c>
      <c r="P126" s="2" t="inlineStr">
        <is>
          <t>如果全球贸易增速放缓、跨境投资更加偏向战略行业，公司进入海外市场时应如何理解外部需求与投资环境？哪些宏观证据最相关？</t>
        </is>
      </c>
      <c r="Q126" s="2" t="inlineStr">
        <is>
          <t>Evidence ID: MCK_001 Title: The art, science, and technology of geopolitical scenario planning Publisher: 麦肯锡（McKinsey） Country/Jurisdiction: 全球 Publication date: 2026-06-10 Status: CURRENT Topic: 宏观风险 Applicability scope: GENERAL Related industries: 通用 Key finding: 基于2026年2月对202</t>
        </is>
      </c>
    </row>
    <row r="127">
      <c r="A127" s="2" t="inlineStr">
        <is>
          <t>Q026</t>
        </is>
      </c>
      <c r="B127" s="2" t="n">
        <v>1</v>
      </c>
      <c r="C127" s="2" t="inlineStr">
        <is>
          <t>BIS_002</t>
        </is>
      </c>
      <c r="D127" s="2" t="inlineStr">
        <is>
          <t>One Year Suspension of Expansion of End-User Controls for Affiliates of Certain Listed Entities（关联企业规则暂停一年）</t>
        </is>
      </c>
      <c r="E127" s="2" t="inlineStr">
        <is>
          <t>出口管制</t>
        </is>
      </c>
      <c r="F127" s="2" t="inlineStr">
        <is>
          <t>S</t>
        </is>
      </c>
      <c r="G127" s="2" t="n">
        <v>2</v>
      </c>
      <c r="H127" s="2" t="n">
        <v>2</v>
      </c>
      <c r="I127" s="3" t="n">
        <v>2</v>
      </c>
      <c r="J127" s="3" t="n">
        <v>2</v>
      </c>
      <c r="K127" s="2" t="inlineStr">
        <is>
          <t>情景B（暂停延长）的直接依据</t>
        </is>
      </c>
      <c r="L127" s="2" t="inlineStr">
        <is>
          <t>美国商务部工业与安全局（BIS）</t>
        </is>
      </c>
      <c r="M127" s="2" t="inlineStr">
        <is>
          <t>Scenario Simulation Support</t>
        </is>
      </c>
      <c r="N127" s="2" t="inlineStr">
        <is>
          <t>export_control</t>
        </is>
      </c>
      <c r="O127" s="2" t="inlineStr">
        <is>
          <t>BIS_001; BIS_002; CASE_009; FR_001; ITA_001</t>
        </is>
      </c>
      <c r="P127" s="2" t="inlineStr">
        <is>
          <t>情景A：BIS 50%关联企业规则按计划恢复；情景B：暂停继续延长。对于依赖美国客户的制造企业，两种情景下应重点比较哪些合规和客户准入影响？</t>
        </is>
      </c>
      <c r="Q127" s="2"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row>
    <row r="128">
      <c r="A128" s="2" t="inlineStr">
        <is>
          <t>Q026</t>
        </is>
      </c>
      <c r="B128" s="2" t="n">
        <v>2</v>
      </c>
      <c r="C128" s="2" t="inlineStr">
        <is>
          <t>BIS_001</t>
        </is>
      </c>
      <c r="D128" s="2" t="inlineStr">
        <is>
          <t>Expansion of End-User Controls to Cover Affiliates of Certain Listed Entities（关联企业规则 / 50%穿透规则，临时最终规则）</t>
        </is>
      </c>
      <c r="E128" s="2" t="inlineStr">
        <is>
          <t>出口管制</t>
        </is>
      </c>
      <c r="F128" s="2" t="inlineStr">
        <is>
          <t>S</t>
        </is>
      </c>
      <c r="G128" s="2" t="n">
        <v>2</v>
      </c>
      <c r="H128" s="2" t="n">
        <v>2</v>
      </c>
      <c r="I128" s="3" t="n">
        <v>2</v>
      </c>
      <c r="J128" s="3" t="n">
        <v>2</v>
      </c>
      <c r="K128" s="2" t="inlineStr">
        <is>
          <t>情景A（规则恢复）的直接依据</t>
        </is>
      </c>
      <c r="L128" s="2" t="inlineStr">
        <is>
          <t>美国商务部工业与安全局（BIS）</t>
        </is>
      </c>
      <c r="M128" s="2" t="inlineStr">
        <is>
          <t>Scenario Simulation Support</t>
        </is>
      </c>
      <c r="N128" s="2" t="inlineStr">
        <is>
          <t>export_control</t>
        </is>
      </c>
      <c r="O128" s="2" t="inlineStr">
        <is>
          <t>BIS_001; BIS_002; CASE_009; FR_001; ITA_001</t>
        </is>
      </c>
      <c r="P128" s="2" t="inlineStr">
        <is>
          <t>情景A：BIS 50%关联企业规则按计划恢复；情景B：暂停继续延长。对于依赖美国客户的制造企业，两种情景下应重点比较哪些合规和客户准入影响？</t>
        </is>
      </c>
      <c r="Q128" s="2" t="inlineStr">
        <is>
          <t>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t>
        </is>
      </c>
    </row>
    <row r="129">
      <c r="A129" s="2" t="inlineStr">
        <is>
          <t>Q026</t>
        </is>
      </c>
      <c r="B129" s="2" t="n">
        <v>3</v>
      </c>
      <c r="C129" s="2" t="inlineStr">
        <is>
          <t>CASE_009</t>
        </is>
      </c>
      <c r="D129" s="2" t="inlineStr">
        <is>
          <t>BIS 50%穿透规则：发布→暂停→2026-11-10恢复的完整时间线</t>
        </is>
      </c>
      <c r="E129" s="2" t="inlineStr">
        <is>
          <t>出口管制</t>
        </is>
      </c>
      <c r="F129" s="2" t="inlineStr">
        <is>
          <t>S</t>
        </is>
      </c>
      <c r="G129" s="2" t="n">
        <v>2</v>
      </c>
      <c r="H129" s="2" t="n">
        <v>2</v>
      </c>
      <c r="I129" s="3" t="n">
        <v>2</v>
      </c>
      <c r="J129" s="3" t="n">
        <v>2</v>
      </c>
      <c r="K129" s="2" t="inlineStr">
        <is>
          <t>完整时间线，直接</t>
        </is>
      </c>
      <c r="L129" s="2" t="inlineStr">
        <is>
          <t>美国商务部工业与安全局（BIS）</t>
        </is>
      </c>
      <c r="M129" s="2" t="inlineStr">
        <is>
          <t>Scenario Simulation Support</t>
        </is>
      </c>
      <c r="N129" s="2" t="inlineStr">
        <is>
          <t>export_control</t>
        </is>
      </c>
      <c r="O129" s="2" t="inlineStr">
        <is>
          <t>BIS_001; BIS_002; CASE_009; FR_001; ITA_001</t>
        </is>
      </c>
      <c r="P129" s="2" t="inlineStr">
        <is>
          <t>情景A：BIS 50%关联企业规则按计划恢复；情景B：暂停继续延长。对于依赖美国客户的制造企业，两种情景下应重点比较哪些合规和客户准入影响？</t>
        </is>
      </c>
      <c r="Q129" s="2"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row>
    <row r="130">
      <c r="A130" s="2" t="inlineStr">
        <is>
          <t>Q026</t>
        </is>
      </c>
      <c r="B130" s="2" t="n">
        <v>4</v>
      </c>
      <c r="C130" s="2" t="inlineStr">
        <is>
          <t>FR_001</t>
        </is>
      </c>
      <c r="D130" s="2" t="inlineStr">
        <is>
          <t>Federal Register API（美国联邦公报）</t>
        </is>
      </c>
      <c r="E130" s="2" t="inlineStr">
        <is>
          <t>出口管制/关税</t>
        </is>
      </c>
      <c r="F130" s="2" t="inlineStr">
        <is>
          <t>S</t>
        </is>
      </c>
      <c r="G130" s="2" t="n">
        <v>2</v>
      </c>
      <c r="H130" s="2" t="n">
        <v>2</v>
      </c>
      <c r="I130" s="3" t="n">
        <v>2</v>
      </c>
      <c r="J130" s="3" t="n">
        <v>2</v>
      </c>
      <c r="K130" s="2" t="inlineStr">
        <is>
          <t>跟踪情景走向的官方监测入口</t>
        </is>
      </c>
      <c r="L130" s="2" t="inlineStr">
        <is>
          <t>美国国家档案馆联邦公报办公室</t>
        </is>
      </c>
      <c r="M130" s="2" t="inlineStr">
        <is>
          <t>Scenario Simulation Support</t>
        </is>
      </c>
      <c r="N130" s="2" t="inlineStr">
        <is>
          <t>export_control</t>
        </is>
      </c>
      <c r="O130" s="2" t="inlineStr">
        <is>
          <t>BIS_001; BIS_002; CASE_009; FR_001; ITA_001</t>
        </is>
      </c>
      <c r="P130" s="2" t="inlineStr">
        <is>
          <t>情景A：BIS 50%关联企业规则按计划恢复；情景B：暂停继续延长。对于依赖美国客户的制造企业，两种情景下应重点比较哪些合规和客户准入影响？</t>
        </is>
      </c>
      <c r="Q130" s="2" t="inlineStr">
        <is>
          <t>Evidence ID: FR_001 Title: Federal Register API（美国联邦公报） Publisher: 美国国家档案馆联邦公报办公室 Country/Jurisdiction: US / Federal Publication date: 持续更新（每日） Status: CURRENT Topic: 出口管制/关税 Applicability scope: GENERAL Related industries: 通用 Key finding: 免费，无需key；按机构（BIS/USTR/CBP）过滤。 Bulk datab</t>
        </is>
      </c>
    </row>
    <row r="131">
      <c r="A131" s="2" t="inlineStr">
        <is>
          <t>Q026</t>
        </is>
      </c>
      <c r="B131" s="2" t="n">
        <v>5</v>
      </c>
      <c r="C131" s="2" t="inlineStr">
        <is>
          <t>CASE_001</t>
        </is>
      </c>
      <c r="D131" s="2" t="inlineStr">
        <is>
          <t>Dawang Metals：客户订单转移印度后回流，企业放弃海外建厂</t>
        </is>
      </c>
      <c r="E131" s="2" t="inlineStr">
        <is>
          <t>供应链布局</t>
        </is>
      </c>
      <c r="F131" s="2" t="inlineStr">
        <is>
          <t>B+</t>
        </is>
      </c>
      <c r="G131" s="2" t="n">
        <v>0</v>
      </c>
      <c r="H131" s="2" t="n">
        <v>1</v>
      </c>
      <c r="I131" s="3" t="n">
        <v>0</v>
      </c>
      <c r="J131" s="3" t="n">
        <v>1</v>
      </c>
      <c r="K131" s="2" t="inlineStr">
        <is>
          <t>金属铸造回流案例，与BIS规则情景无关</t>
        </is>
      </c>
      <c r="L131" s="2" t="inlineStr">
        <is>
          <t>路透社（Reuters）</t>
        </is>
      </c>
      <c r="M131" s="2" t="inlineStr">
        <is>
          <t>Scenario Simulation Support</t>
        </is>
      </c>
      <c r="N131" s="2" t="inlineStr">
        <is>
          <t>export_control</t>
        </is>
      </c>
      <c r="O131" s="2" t="inlineStr">
        <is>
          <t>BIS_001; BIS_002; CASE_009; FR_001; ITA_001</t>
        </is>
      </c>
      <c r="P131" s="2" t="inlineStr">
        <is>
          <t>情景A：BIS 50%关联企业规则按计划恢复；情景B：暂停继续延长。对于依赖美国客户的制造企业，两种情景下应重点比较哪些合规和客户准入影响？</t>
        </is>
      </c>
      <c r="Q131" s="2"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row>
    <row r="132">
      <c r="A132" s="2" t="inlineStr">
        <is>
          <t>Q027</t>
        </is>
      </c>
      <c r="B132" s="2" t="n">
        <v>1</v>
      </c>
      <c r="C132" s="2" t="inlineStr">
        <is>
          <t>DOC_001</t>
        </is>
      </c>
      <c r="D132" s="2" t="inlineStr">
        <is>
          <t>Final Circumvention Determinations: Crystalline Silicon Photovoltaic Cells from Cambodia, Malaysia, Thailand and Vietnam（东南亚四国光伏反规避终裁）</t>
        </is>
      </c>
      <c r="E132" s="2" t="inlineStr">
        <is>
          <t>反规避</t>
        </is>
      </c>
      <c r="F132" s="2" t="inlineStr">
        <is>
          <t>S</t>
        </is>
      </c>
      <c r="G132" s="2" t="n">
        <v>2</v>
      </c>
      <c r="H132" s="2" t="n">
        <v>2</v>
      </c>
      <c r="I132" s="3" t="n">
        <v>2</v>
      </c>
      <c r="J132" s="3" t="n">
        <v>2</v>
      </c>
      <c r="K132" s="2" t="inlineStr">
        <is>
          <t>终裁原文，直接</t>
        </is>
      </c>
      <c r="L132" s="2" t="inlineStr">
        <is>
          <t>美国商务部</t>
        </is>
      </c>
      <c r="M132" s="2" t="inlineStr">
        <is>
          <t>Scenario Simulation Support</t>
        </is>
      </c>
      <c r="N132" s="2" t="inlineStr">
        <is>
          <t>trade_policy</t>
        </is>
      </c>
      <c r="O132" s="2" t="inlineStr">
        <is>
          <t>DOC_001; CASE_002; CASE_003; WH_002; CSIS_001</t>
        </is>
      </c>
      <c r="P132" s="2" t="inlineStr">
        <is>
          <t>情景A：公司继续从中国直接出口美国；情景B：将部分工序迁至东南亚。基于现有反规避和转运证据，哪种方案的贸易风险更低，评估时必须检查哪些条件？</t>
        </is>
      </c>
      <c r="Q132" s="2" t="inlineStr">
        <is>
          <t>Evidence ID: DOC_001 Title: Final Circumvention Determinations: Crystalline Silicon Photovoltaic Cells from Cambodia, Malaysia, Thailand and Vietnam（东南亚四国光伏反规避终裁） Publisher: 美国商务部 Country/Jurisdiction: US / Federal Publication date: 2023-08-23 Status: CURRENT Topic: 反规避 Applicabi</t>
        </is>
      </c>
    </row>
    <row r="133">
      <c r="A133" s="2" t="inlineStr">
        <is>
          <t>Q027</t>
        </is>
      </c>
      <c r="B133" s="2" t="n">
        <v>2</v>
      </c>
      <c r="C133" s="2" t="inlineStr">
        <is>
          <t>CASE_002</t>
        </is>
      </c>
      <c r="D133" s="2" t="inlineStr">
        <is>
          <t>美国对东南亚四国光伏产品反规避认定：视为中国原产并适用对华双反</t>
        </is>
      </c>
      <c r="E133" s="2" t="inlineStr">
        <is>
          <t>反规避</t>
        </is>
      </c>
      <c r="F133" s="2" t="inlineStr">
        <is>
          <t>S</t>
        </is>
      </c>
      <c r="G133" s="2" t="n">
        <v>2</v>
      </c>
      <c r="H133" s="2" t="n">
        <v>2</v>
      </c>
      <c r="I133" s="3" t="n">
        <v>2</v>
      </c>
      <c r="J133" s="3" t="n">
        <v>2</v>
      </c>
      <c r="K133" s="2" t="inlineStr">
        <is>
          <t>“认定规避”判例，直接</t>
        </is>
      </c>
      <c r="L133" s="2" t="inlineStr">
        <is>
          <t>美国商务部（经律所解读）</t>
        </is>
      </c>
      <c r="M133" s="2" t="inlineStr">
        <is>
          <t>Scenario Simulation Support</t>
        </is>
      </c>
      <c r="N133" s="2" t="inlineStr">
        <is>
          <t>trade_policy</t>
        </is>
      </c>
      <c r="O133" s="2" t="inlineStr">
        <is>
          <t>DOC_001; CASE_002; CASE_003; WH_002; CSIS_001</t>
        </is>
      </c>
      <c r="P133" s="2" t="inlineStr">
        <is>
          <t>情景A：公司继续从中国直接出口美国；情景B：将部分工序迁至东南亚。基于现有反规避和转运证据，哪种方案的贸易风险更低，评估时必须检查哪些条件？</t>
        </is>
      </c>
      <c r="Q133"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134">
      <c r="A134" s="2" t="inlineStr">
        <is>
          <t>Q027</t>
        </is>
      </c>
      <c r="B134" s="2" t="n">
        <v>3</v>
      </c>
      <c r="C134" s="2" t="inlineStr">
        <is>
          <t>CASE_003</t>
        </is>
      </c>
      <c r="D134" s="2" t="inlineStr">
        <is>
          <t>同一反规避调查中被认定“未规避”的企业（Hanwha、Jinko马来西亚、Boviet越南）</t>
        </is>
      </c>
      <c r="E134" s="2" t="inlineStr">
        <is>
          <t>反规避</t>
        </is>
      </c>
      <c r="F134" s="2" t="inlineStr">
        <is>
          <t>S</t>
        </is>
      </c>
      <c r="G134" s="2" t="n">
        <v>2</v>
      </c>
      <c r="H134" s="2" t="n">
        <v>2</v>
      </c>
      <c r="I134" s="3" t="n">
        <v>2</v>
      </c>
      <c r="J134" s="3" t="n">
        <v>2</v>
      </c>
      <c r="K134" s="2" t="inlineStr">
        <is>
          <t>“未规避”判例，直接对照</t>
        </is>
      </c>
      <c r="L134" s="2" t="inlineStr">
        <is>
          <t>美国商务部（经律所解读）</t>
        </is>
      </c>
      <c r="M134" s="2" t="inlineStr">
        <is>
          <t>Scenario Simulation Support</t>
        </is>
      </c>
      <c r="N134" s="2" t="inlineStr">
        <is>
          <t>trade_policy</t>
        </is>
      </c>
      <c r="O134" s="2" t="inlineStr">
        <is>
          <t>DOC_001; CASE_002; CASE_003; WH_002; CSIS_001</t>
        </is>
      </c>
      <c r="P134" s="2" t="inlineStr">
        <is>
          <t>情景A：公司继续从中国直接出口美国；情景B：将部分工序迁至东南亚。基于现有反规避和转运证据，哪种方案的贸易风险更低，评估时必须检查哪些条件？</t>
        </is>
      </c>
      <c r="Q134" s="2"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row>
    <row r="135">
      <c r="A135" s="2" t="inlineStr">
        <is>
          <t>Q027</t>
        </is>
      </c>
      <c r="B135" s="2" t="n">
        <v>4</v>
      </c>
      <c r="C135" s="2" t="inlineStr">
        <is>
          <t>CASE_010</t>
        </is>
      </c>
      <c r="D135" s="2" t="inlineStr">
        <is>
          <t>白宫点名东南亚为非法转运高风险地区，并推出AI执法工具</t>
        </is>
      </c>
      <c r="E135" s="2" t="inlineStr">
        <is>
          <t>原产地与转运</t>
        </is>
      </c>
      <c r="F135" s="2" t="inlineStr">
        <is>
          <t>S</t>
        </is>
      </c>
      <c r="G135" s="2" t="n">
        <v>1</v>
      </c>
      <c r="H135" s="2" t="n">
        <v>2</v>
      </c>
      <c r="I135" s="3" t="n">
        <v>2</v>
      </c>
      <c r="J135" s="3" t="n">
        <v>2</v>
      </c>
      <c r="K135" s="2" t="inlineStr">
        <is>
          <t>转运执法证据，题目点名要求 ｜ 人工判定与Auto(1)不同，请复核</t>
        </is>
      </c>
      <c r="L135" s="2" t="inlineStr">
        <is>
          <t>美国白宫（经律所解读）</t>
        </is>
      </c>
      <c r="M135" s="2" t="inlineStr">
        <is>
          <t>Scenario Simulation Support</t>
        </is>
      </c>
      <c r="N135" s="2" t="inlineStr">
        <is>
          <t>trade_policy</t>
        </is>
      </c>
      <c r="O135" s="2" t="inlineStr">
        <is>
          <t>DOC_001; CASE_002; CASE_003; WH_002; CSIS_001</t>
        </is>
      </c>
      <c r="P135" s="2" t="inlineStr">
        <is>
          <t>情景A：公司继续从中国直接出口美国；情景B：将部分工序迁至东南亚。基于现有反规避和转运证据，哪种方案的贸易风险更低，评估时必须检查哪些条件？</t>
        </is>
      </c>
      <c r="Q135" s="2"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row>
    <row r="136">
      <c r="A136" s="2" t="inlineStr">
        <is>
          <t>Q027</t>
        </is>
      </c>
      <c r="B136" s="2" t="n">
        <v>5</v>
      </c>
      <c r="C136" s="2" t="inlineStr">
        <is>
          <t>WH_002</t>
        </is>
      </c>
      <c r="D136" s="2" t="inlineStr">
        <is>
          <t>The Great Transshipment Scam: Rise, Scope, and Costs（白宫非法转运报告）</t>
        </is>
      </c>
      <c r="E136" s="2" t="inlineStr">
        <is>
          <t>原产地与转运</t>
        </is>
      </c>
      <c r="F136" s="2" t="inlineStr">
        <is>
          <t>S</t>
        </is>
      </c>
      <c r="G136" s="2" t="n">
        <v>2</v>
      </c>
      <c r="H136" s="2" t="n">
        <v>2</v>
      </c>
      <c r="I136" s="3" t="n">
        <v>2</v>
      </c>
      <c r="J136" s="3" t="n">
        <v>2</v>
      </c>
      <c r="K136" s="2" t="inlineStr">
        <is>
          <t>转运执法证据，题目点名要求</t>
        </is>
      </c>
      <c r="L136" s="2" t="inlineStr">
        <is>
          <t>美国白宫贸易与制造业政策办公室</t>
        </is>
      </c>
      <c r="M136" s="2" t="inlineStr">
        <is>
          <t>Scenario Simulation Support</t>
        </is>
      </c>
      <c r="N136" s="2" t="inlineStr">
        <is>
          <t>trade_policy</t>
        </is>
      </c>
      <c r="O136" s="2" t="inlineStr">
        <is>
          <t>DOC_001; CASE_002; CASE_003; WH_002; CSIS_001</t>
        </is>
      </c>
      <c r="P136" s="2" t="inlineStr">
        <is>
          <t>情景A：公司继续从中国直接出口美国；情景B：将部分工序迁至东南亚。基于现有反规避和转运证据，哪种方案的贸易风险更低，评估时必须检查哪些条件？</t>
        </is>
      </c>
      <c r="Q136"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137">
      <c r="A137" s="2" t="inlineStr">
        <is>
          <t>Q028</t>
        </is>
      </c>
      <c r="B137" s="2" t="n">
        <v>1</v>
      </c>
      <c r="C137" s="2" t="inlineStr">
        <is>
          <t>TRD_003</t>
        </is>
      </c>
      <c r="D137" s="2" t="inlineStr">
        <is>
          <t>中国对越南、泰国、马来西亚出口 HS 8541/8542（中间品），2018–2025年度</t>
        </is>
      </c>
      <c r="E137" s="2" t="inlineStr">
        <is>
          <t>贸易流</t>
        </is>
      </c>
      <c r="F137" s="2" t="inlineStr">
        <is>
          <t>A+</t>
        </is>
      </c>
      <c r="G137" s="2" t="n">
        <v>2</v>
      </c>
      <c r="H137" s="2" t="n">
        <v>2</v>
      </c>
      <c r="I137" s="3" t="n">
        <v>2</v>
      </c>
      <c r="J137" s="3" t="n">
        <v>2</v>
      </c>
      <c r="K137" s="2" t="inlineStr">
        <is>
          <t>中间品依赖数据，直接</t>
        </is>
      </c>
      <c r="L137" s="2" t="inlineStr">
        <is>
          <t>联合国商品贸易统计数据库（UN Comtrade）</t>
        </is>
      </c>
      <c r="M137" s="2" t="inlineStr">
        <is>
          <t>Scenario Simulation Support</t>
        </is>
      </c>
      <c r="N137" s="2" t="inlineStr">
        <is>
          <t>supplier_dependency</t>
        </is>
      </c>
      <c r="O137" s="2" t="inlineStr">
        <is>
          <t>CASE_002; CASE_003; CASE_010; CSIS_001; TRD_003; WH_002</t>
        </is>
      </c>
      <c r="P137" s="2" t="inlineStr">
        <is>
          <t>情景A：东南亚工厂继续大量采购中国中间品；情景B：提高当地供应商比例。现有证据如何支持比较两种方案的供应链依赖与原产地风险？</t>
        </is>
      </c>
      <c r="Q137" s="2"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row>
    <row r="138">
      <c r="A138" s="2" t="inlineStr">
        <is>
          <t>Q028</t>
        </is>
      </c>
      <c r="B138" s="2" t="n">
        <v>2</v>
      </c>
      <c r="C138" s="2" t="inlineStr">
        <is>
          <t>WH_002</t>
        </is>
      </c>
      <c r="D138" s="2" t="inlineStr">
        <is>
          <t>The Great Transshipment Scam: Rise, Scope, and Costs（白宫非法转运报告）</t>
        </is>
      </c>
      <c r="E138" s="2" t="inlineStr">
        <is>
          <t>原产地与转运</t>
        </is>
      </c>
      <c r="F138" s="2" t="inlineStr">
        <is>
          <t>S</t>
        </is>
      </c>
      <c r="G138" s="2" t="n">
        <v>2</v>
      </c>
      <c r="H138" s="2" t="n">
        <v>2</v>
      </c>
      <c r="I138" s="3" t="n">
        <v>2</v>
      </c>
      <c r="J138" s="3" t="n">
        <v>2</v>
      </c>
      <c r="K138" s="2" t="inlineStr">
        <is>
          <t>转运与原产地风险，直接</t>
        </is>
      </c>
      <c r="L138" s="2" t="inlineStr">
        <is>
          <t>美国白宫贸易与制造业政策办公室</t>
        </is>
      </c>
      <c r="M138" s="2" t="inlineStr">
        <is>
          <t>Scenario Simulation Support</t>
        </is>
      </c>
      <c r="N138" s="2" t="inlineStr">
        <is>
          <t>supplier_dependency</t>
        </is>
      </c>
      <c r="O138" s="2" t="inlineStr">
        <is>
          <t>CASE_002; CASE_003; CASE_010; CSIS_001; TRD_003; WH_002</t>
        </is>
      </c>
      <c r="P138" s="2" t="inlineStr">
        <is>
          <t>情景A：东南亚工厂继续大量采购中国中间品；情景B：提高当地供应商比例。现有证据如何支持比较两种方案的供应链依赖与原产地风险？</t>
        </is>
      </c>
      <c r="Q138"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139">
      <c r="A139" s="2" t="inlineStr">
        <is>
          <t>Q028</t>
        </is>
      </c>
      <c r="B139" s="2" t="n">
        <v>3</v>
      </c>
      <c r="C139" s="2" t="inlineStr">
        <is>
          <t>DOC_001</t>
        </is>
      </c>
      <c r="D139" s="2" t="inlineStr">
        <is>
          <t>Final Circumvention Determinations: Crystalline Silicon Photovoltaic Cells from Cambodia, Malaysia, Thailand and Vietnam（东南亚四国光伏反规避终裁）</t>
        </is>
      </c>
      <c r="E139" s="2" t="inlineStr">
        <is>
          <t>反规避</t>
        </is>
      </c>
      <c r="F139" s="2" t="inlineStr">
        <is>
          <t>S</t>
        </is>
      </c>
      <c r="G139" s="2" t="n">
        <v>0</v>
      </c>
      <c r="H139" s="2" t="n">
        <v>2</v>
      </c>
      <c r="I139" s="3" t="n">
        <v>2</v>
      </c>
      <c r="J139" s="3" t="n">
        <v>2</v>
      </c>
      <c r="K139" s="2" t="inlineStr">
        <is>
          <t>反规避终裁，界定“实质性转变”，直接 ｜ 人工判定与Auto(0)不同，请复核</t>
        </is>
      </c>
      <c r="L139" s="2" t="inlineStr">
        <is>
          <t>美国商务部</t>
        </is>
      </c>
      <c r="M139" s="2" t="inlineStr">
        <is>
          <t>Scenario Simulation Support</t>
        </is>
      </c>
      <c r="N139" s="2" t="inlineStr">
        <is>
          <t>supplier_dependency</t>
        </is>
      </c>
      <c r="O139" s="2" t="inlineStr">
        <is>
          <t>CASE_002; CASE_003; CASE_010; CSIS_001; TRD_003; WH_002</t>
        </is>
      </c>
      <c r="P139" s="2" t="inlineStr">
        <is>
          <t>情景A：东南亚工厂继续大量采购中国中间品；情景B：提高当地供应商比例。现有证据如何支持比较两种方案的供应链依赖与原产地风险？</t>
        </is>
      </c>
      <c r="Q139" s="2" t="inlineStr">
        <is>
          <t>Evidence ID: DOC_001 Title: Final Circumvention Determinations: Crystalline Silicon Photovoltaic Cells from Cambodia, Malaysia, Thailand and Vietnam（东南亚四国光伏反规避终裁） Publisher: 美国商务部 Country/Jurisdiction: US / Federal Publication date: 2023-08-23 Status: CURRENT Topic: 反规避 Applicabi</t>
        </is>
      </c>
    </row>
    <row r="140">
      <c r="A140" s="2" t="inlineStr">
        <is>
          <t>Q028</t>
        </is>
      </c>
      <c r="B140" s="2" t="n">
        <v>4</v>
      </c>
      <c r="C140" s="2" t="inlineStr">
        <is>
          <t>CASE_002</t>
        </is>
      </c>
      <c r="D140" s="2" t="inlineStr">
        <is>
          <t>美国对东南亚四国光伏产品反规避认定：视为中国原产并适用对华双反</t>
        </is>
      </c>
      <c r="E140" s="2" t="inlineStr">
        <is>
          <t>反规避</t>
        </is>
      </c>
      <c r="F140" s="2" t="inlineStr">
        <is>
          <t>S</t>
        </is>
      </c>
      <c r="G140" s="2" t="n">
        <v>2</v>
      </c>
      <c r="H140" s="2" t="n">
        <v>2</v>
      </c>
      <c r="I140" s="3" t="n">
        <v>2</v>
      </c>
      <c r="J140" s="3" t="n">
        <v>2</v>
      </c>
      <c r="K140" s="2" t="inlineStr">
        <is>
          <t>“认定规避”判例，直接</t>
        </is>
      </c>
      <c r="L140" s="2" t="inlineStr">
        <is>
          <t>美国商务部（经律所解读）</t>
        </is>
      </c>
      <c r="M140" s="2" t="inlineStr">
        <is>
          <t>Scenario Simulation Support</t>
        </is>
      </c>
      <c r="N140" s="2" t="inlineStr">
        <is>
          <t>supplier_dependency</t>
        </is>
      </c>
      <c r="O140" s="2" t="inlineStr">
        <is>
          <t>CASE_002; CASE_003; CASE_010; CSIS_001; TRD_003; WH_002</t>
        </is>
      </c>
      <c r="P140" s="2" t="inlineStr">
        <is>
          <t>情景A：东南亚工厂继续大量采购中国中间品；情景B：提高当地供应商比例。现有证据如何支持比较两种方案的供应链依赖与原产地风险？</t>
        </is>
      </c>
      <c r="Q140"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141">
      <c r="A141" s="2" t="inlineStr">
        <is>
          <t>Q028</t>
        </is>
      </c>
      <c r="B141" s="2" t="n">
        <v>5</v>
      </c>
      <c r="C141" s="2" t="inlineStr">
        <is>
          <t>RETURN_001</t>
        </is>
      </c>
      <c r="D141" s="2" t="inlineStr">
        <is>
          <t>恩捷股份 Yunnan Energy New Material (Semcorp)：重新评估 / 回流中国（提高中国生产比例）</t>
        </is>
      </c>
      <c r="E141" s="2" t="inlineStr">
        <is>
          <t>供应链布局</t>
        </is>
      </c>
      <c r="F141" s="2" t="inlineStr">
        <is>
          <t>S</t>
        </is>
      </c>
      <c r="G141" s="2" t="n">
        <v>1</v>
      </c>
      <c r="H141" s="2" t="n">
        <v>2</v>
      </c>
      <c r="I141" s="3" t="n">
        <v>1</v>
      </c>
      <c r="J141" s="3" t="n">
        <v>2</v>
      </c>
      <c r="K141" s="2" t="inlineStr">
        <is>
          <t>企业终止海外项目，与两种采购方案比较弱相关</t>
        </is>
      </c>
      <c r="L141" s="2" t="inlineStr">
        <is>
          <t>恩捷股份公告（经东方财富网 / 央广网报道）</t>
        </is>
      </c>
      <c r="M141" s="2" t="inlineStr">
        <is>
          <t>Scenario Simulation Support</t>
        </is>
      </c>
      <c r="N141" s="2" t="inlineStr">
        <is>
          <t>supplier_dependency</t>
        </is>
      </c>
      <c r="O141" s="2" t="inlineStr">
        <is>
          <t>CASE_002; CASE_003; CASE_010; CSIS_001; TRD_003; WH_002</t>
        </is>
      </c>
      <c r="P141" s="2" t="inlineStr">
        <is>
          <t>情景A：东南亚工厂继续大量采购中国中间品；情景B：提高当地供应商比例。现有证据如何支持比较两种方案的供应链依赖与原产地风险？</t>
        </is>
      </c>
      <c r="Q141" s="2" t="inlineStr">
        <is>
          <t>## 一、决策前状态（Initial Situation） 生产布局：湿法锂电隔膜产能以中国为主（上海、珠海、无锡等），为全球隔膜龙头。 主要市场：中国 + 海外电池客户（含欧美）。 供应链结构：基膜与涂覆材料主要在中国生产，产品出口海外。 面临的问题：2024 年规划马来西亚隔膜项目（约 10 亿平方米/年、投资约 20 亿元）以求贴近海外客户并规避关税。 ## 二、决策触发（Decision Trigger） 触发类型：cost_change（成本变化） 触发细节：外部市场环境及行业竞争格局发生变化（隔膜价格下行、行业产能过剩、海外建厂成本高于预期）</t>
        </is>
      </c>
    </row>
    <row r="142">
      <c r="A142" s="2" t="inlineStr">
        <is>
          <t>Q029</t>
        </is>
      </c>
      <c r="B142" s="2" t="n">
        <v>1</v>
      </c>
      <c r="C142" s="2" t="inlineStr">
        <is>
          <t>IMF_001</t>
        </is>
      </c>
      <c r="D142" s="2" t="inlineStr">
        <is>
          <t>World Economic Outlook, April 2023, Chapter 4: Geoeconomic Fragmentation and Foreign Direct Investment</t>
        </is>
      </c>
      <c r="E142" s="2" t="inlineStr">
        <is>
          <t>对外投资</t>
        </is>
      </c>
      <c r="F142" s="2" t="inlineStr">
        <is>
          <t>A+</t>
        </is>
      </c>
      <c r="G142" s="2" t="n">
        <v>2</v>
      </c>
      <c r="H142" s="2" t="n">
        <v>2</v>
      </c>
      <c r="I142" s="3" t="n">
        <v>2</v>
      </c>
      <c r="J142" s="3" t="n">
        <v>2</v>
      </c>
      <c r="K142" s="2" t="inlineStr">
        <is>
          <t>投资与碎片化框架，直接</t>
        </is>
      </c>
      <c r="L142" s="2" t="inlineStr">
        <is>
          <t>国际货币基金组织（IMF）</t>
        </is>
      </c>
      <c r="M142" s="2" t="inlineStr">
        <is>
          <t>Scenario Simulation Support</t>
        </is>
      </c>
      <c r="N142" s="2" t="inlineStr">
        <is>
          <t>investment_policy</t>
        </is>
      </c>
      <c r="O142" s="2" t="inlineStr">
        <is>
          <t>CNGOV_001; UNCTAD_001; IMF_001; KPMG_001; MCK_001</t>
        </is>
      </c>
      <c r="P142" s="2" t="inlineStr">
        <is>
          <t>情景A：立即启动海外建厂；情景B：延后投资等待贸易政策更清晰。管理层应参考哪些投资政策、全球投资趋势和企业供应链调查证据？</t>
        </is>
      </c>
      <c r="Q142" s="2" t="inlineStr">
        <is>
          <t>Evidence ID: IMF_001 Title: World Economic Outlook, April 2023, Chapter 4: Geoeconomic Fragmentation and Foreign Direct Investment Publisher: 国际货币基金组织（IMF） Country/Jurisdiction: 全球 Publication date: 2023-04 Status: CURRENT Topic: 对外投资 Applicability scope: GENERAL Related industri</t>
        </is>
      </c>
    </row>
    <row r="143">
      <c r="A143" s="2" t="inlineStr">
        <is>
          <t>Q029</t>
        </is>
      </c>
      <c r="B143" s="2" t="n">
        <v>2</v>
      </c>
      <c r="C143" s="2" t="inlineStr">
        <is>
          <t>WTO_001</t>
        </is>
      </c>
      <c r="D143" s="2" t="inlineStr">
        <is>
          <t>Global Trade Outlook and Statistics（2026年3月版）</t>
        </is>
      </c>
      <c r="E143" s="2" t="inlineStr">
        <is>
          <t>贸易流</t>
        </is>
      </c>
      <c r="F143" s="2" t="inlineStr">
        <is>
          <t>A+</t>
        </is>
      </c>
      <c r="G143" s="2" t="n">
        <v>0</v>
      </c>
      <c r="H143" s="2" t="n">
        <v>2</v>
      </c>
      <c r="I143" s="3" t="n">
        <v>1</v>
      </c>
      <c r="J143" s="3" t="n">
        <v>2</v>
      </c>
      <c r="K143" s="2" t="inlineStr">
        <is>
          <t>全球贸易展望，非投资政策/调查证据 ｜ 人工判定与Auto(0)不同，请复核</t>
        </is>
      </c>
      <c r="L143" s="2" t="inlineStr">
        <is>
          <t>世界贸易组织（WTO）</t>
        </is>
      </c>
      <c r="M143" s="2" t="inlineStr">
        <is>
          <t>Scenario Simulation Support</t>
        </is>
      </c>
      <c r="N143" s="2" t="inlineStr">
        <is>
          <t>investment_policy</t>
        </is>
      </c>
      <c r="O143" s="2" t="inlineStr">
        <is>
          <t>CNGOV_001; UNCTAD_001; IMF_001; KPMG_001; MCK_001</t>
        </is>
      </c>
      <c r="P143" s="2" t="inlineStr">
        <is>
          <t>情景A：立即启动海外建厂；情景B：延后投资等待贸易政策更清晰。管理层应参考哪些投资政策、全球投资趋势和企业供应链调查证据？</t>
        </is>
      </c>
      <c r="Q143" s="2" t="inlineStr">
        <is>
          <t>Evidence ID: WTO_001 Title: Global Trade Outlook and Statistics（2026年3月版） Publisher: 世界贸易组织（WTO） Country/Jurisdiction: 全球 Publication date: 2026-03 Status: CURRENT Topic: 贸易流 Applicability scope: GENERAL Related industries: 通用 Key finding: 基准情景下2026年货物贸易量增速由2025年的4.6%放缓至1.9%。 Glo</t>
        </is>
      </c>
    </row>
    <row r="144">
      <c r="A144" s="2" t="inlineStr">
        <is>
          <t>Q029</t>
        </is>
      </c>
      <c r="B144" s="2" t="n">
        <v>3</v>
      </c>
      <c r="C144" s="2" t="inlineStr">
        <is>
          <t>UNCTAD_001</t>
        </is>
      </c>
      <c r="D144" s="2" t="inlineStr">
        <is>
          <t>World Investment Report 2026: International Investment in a Turbulent Era</t>
        </is>
      </c>
      <c r="E144" s="2" t="inlineStr">
        <is>
          <t>对外投资</t>
        </is>
      </c>
      <c r="F144" s="2" t="inlineStr">
        <is>
          <t>A+</t>
        </is>
      </c>
      <c r="G144" s="2" t="n">
        <v>2</v>
      </c>
      <c r="H144" s="2" t="n">
        <v>2</v>
      </c>
      <c r="I144" s="3" t="n">
        <v>2</v>
      </c>
      <c r="J144" s="3" t="n">
        <v>2</v>
      </c>
      <c r="K144" s="2" t="inlineStr">
        <is>
          <t>全球投资趋势，直接</t>
        </is>
      </c>
      <c r="L144" s="2" t="inlineStr">
        <is>
          <t>联合国贸易和发展会议（UNCTAD）</t>
        </is>
      </c>
      <c r="M144" s="2" t="inlineStr">
        <is>
          <t>Scenario Simulation Support</t>
        </is>
      </c>
      <c r="N144" s="2" t="inlineStr">
        <is>
          <t>investment_policy</t>
        </is>
      </c>
      <c r="O144" s="2" t="inlineStr">
        <is>
          <t>CNGOV_001; UNCTAD_001; IMF_001; KPMG_001; MCK_001</t>
        </is>
      </c>
      <c r="P144" s="2" t="inlineStr">
        <is>
          <t>情景A：立即启动海外建厂；情景B：延后投资等待贸易政策更清晰。管理层应参考哪些投资政策、全球投资趋势和企业供应链调查证据？</t>
        </is>
      </c>
      <c r="Q144" s="2" t="inlineStr">
        <is>
          <t>Evidence ID: UNCTAD_001 Title: World Investment Report 2026: International Investment in a Turbulent Era Publisher: 联合国贸易和发展会议（UNCTAD） Country/Jurisdiction: 全球 Publication date: 2026-07-07 Status: CURRENT Topic: 对外投资 Applicability scope: GENERAL Related industries: 通用 Key finding</t>
        </is>
      </c>
    </row>
    <row r="145">
      <c r="A145" s="2" t="inlineStr">
        <is>
          <t>Q029</t>
        </is>
      </c>
      <c r="B145" s="2" t="n">
        <v>4</v>
      </c>
      <c r="C145" s="2" t="inlineStr">
        <is>
          <t>CNGOV_001</t>
        </is>
      </c>
      <c r="D145" s="2" t="inlineStr">
        <is>
          <t>国务院关于对外投资的规定（国务院令第837号）</t>
        </is>
      </c>
      <c r="E145" s="2" t="inlineStr">
        <is>
          <t>对外投资</t>
        </is>
      </c>
      <c r="F145" s="2" t="inlineStr">
        <is>
          <t>S</t>
        </is>
      </c>
      <c r="G145" s="2" t="n">
        <v>2</v>
      </c>
      <c r="H145" s="2" t="n">
        <v>2</v>
      </c>
      <c r="I145" s="3" t="n">
        <v>2</v>
      </c>
      <c r="J145" s="3" t="n">
        <v>2</v>
      </c>
      <c r="K145" s="2" t="inlineStr">
        <is>
          <t>中国对外投资规则，直接</t>
        </is>
      </c>
      <c r="L145" s="2" t="inlineStr">
        <is>
          <t>中华人民共和国国务院</t>
        </is>
      </c>
      <c r="M145" s="2" t="inlineStr">
        <is>
          <t>Scenario Simulation Support</t>
        </is>
      </c>
      <c r="N145" s="2" t="inlineStr">
        <is>
          <t>investment_policy</t>
        </is>
      </c>
      <c r="O145" s="2" t="inlineStr">
        <is>
          <t>CNGOV_001; UNCTAD_001; IMF_001; KPMG_001; MCK_001</t>
        </is>
      </c>
      <c r="P145" s="2" t="inlineStr">
        <is>
          <t>情景A：立即启动海外建厂；情景B：延后投资等待贸易政策更清晰。管理层应参考哪些投资政策、全球投资趋势和企业供应链调查证据？</t>
        </is>
      </c>
      <c r="Q145" s="2" t="inlineStr">
        <is>
          <t>第六条第六条 国家健全海外综合服务体系，促进贸易投资⼀体化，完善公共平台与服务，统筹外事、法律、财税、⾦融、经贸、物流、出境⼊境、海关、贸促等领域服务资源，为投资者提供服务保障。 省级以上⼈⺠政府及其有关部⻔提升公共服务能⼒和⽔平，为投资者提供法律法规、政策措施、投资指南、知识产权、⻛险防范应对、权益保护等⽅⾯的公共产品和服务。 第七条第七条 ⽀持咨询评估、法律服务、会计审计、信⽤评级、调解仲裁、知识产权等专业服务机构拓展海外服务⽹络，提⾼国际化服务能⼒和⽔平，为投资者及其对外投资提供⾼质量专业服务。 有关专业服务机构应当遵循诚实守信、勤勉尽责、独⽴客观</t>
        </is>
      </c>
    </row>
    <row r="146">
      <c r="A146" s="2" t="inlineStr">
        <is>
          <t>Q029</t>
        </is>
      </c>
      <c r="B146" s="2" t="n">
        <v>5</v>
      </c>
      <c r="C146" s="2" t="inlineStr">
        <is>
          <t>RETURN_001</t>
        </is>
      </c>
      <c r="D146" s="2" t="inlineStr">
        <is>
          <t>恩捷股份 Yunnan Energy New Material (Semcorp)：重新评估 / 回流中国（提高中国生产比例）</t>
        </is>
      </c>
      <c r="E146" s="2" t="inlineStr">
        <is>
          <t>供应链布局</t>
        </is>
      </c>
      <c r="F146" s="2" t="inlineStr">
        <is>
          <t>S</t>
        </is>
      </c>
      <c r="G146" s="2" t="n">
        <v>0</v>
      </c>
      <c r="H146" s="2" t="n">
        <v>2</v>
      </c>
      <c r="I146" s="3" t="n">
        <v>1</v>
      </c>
      <c r="J146" s="3" t="n">
        <v>2</v>
      </c>
      <c r="K146" s="2" t="inlineStr">
        <is>
          <t>企业终止海外项目案例，非题目所问的三类证据 ｜ 人工判定与Auto(0)不同，请复核</t>
        </is>
      </c>
      <c r="L146" s="2" t="inlineStr">
        <is>
          <t>恩捷股份公告（经东方财富网 / 央广网报道）</t>
        </is>
      </c>
      <c r="M146" s="2" t="inlineStr">
        <is>
          <t>Scenario Simulation Support</t>
        </is>
      </c>
      <c r="N146" s="2" t="inlineStr">
        <is>
          <t>investment_policy</t>
        </is>
      </c>
      <c r="O146" s="2" t="inlineStr">
        <is>
          <t>CNGOV_001; UNCTAD_001; IMF_001; KPMG_001; MCK_001</t>
        </is>
      </c>
      <c r="P146" s="2" t="inlineStr">
        <is>
          <t>情景A：立即启动海外建厂；情景B：延后投资等待贸易政策更清晰。管理层应参考哪些投资政策、全球投资趋势和企业供应链调查证据？</t>
        </is>
      </c>
      <c r="Q146" s="2" t="inlineStr">
        <is>
          <t>## 一、决策前状态（Initial Situation） 生产布局：湿法锂电隔膜产能以中国为主（上海、珠海、无锡等），为全球隔膜龙头。 主要市场：中国 + 海外电池客户（含欧美）。 供应链结构：基膜与涂覆材料主要在中国生产，产品出口海外。 面临的问题：2024 年规划马来西亚隔膜项目（约 10 亿平方米/年、投资约 20 亿元）以求贴近海外客户并规避关税。 ## 二、决策触发（Decision Trigger） 触发类型：cost_change（成本变化） 触发细节：外部市场环境及行业竞争格局发生变化（隔膜价格下行、行业产能过剩、海外建厂成本高于预期）</t>
        </is>
      </c>
    </row>
    <row r="147">
      <c r="A147" s="2" t="inlineStr">
        <is>
          <t>Q030</t>
        </is>
      </c>
      <c r="B147" s="2" t="n">
        <v>1</v>
      </c>
      <c r="C147" s="2" t="inlineStr">
        <is>
          <t>CASE_010</t>
        </is>
      </c>
      <c r="D147" s="2" t="inlineStr">
        <is>
          <t>白宫点名东南亚为非法转运高风险地区，并推出AI执法工具</t>
        </is>
      </c>
      <c r="E147" s="2" t="inlineStr">
        <is>
          <t>原产地与转运</t>
        </is>
      </c>
      <c r="F147" s="2" t="inlineStr">
        <is>
          <t>S</t>
        </is>
      </c>
      <c r="G147" s="2" t="n">
        <v>2</v>
      </c>
      <c r="H147" s="2" t="n">
        <v>2</v>
      </c>
      <c r="I147" s="3" t="n">
        <v>2</v>
      </c>
      <c r="J147" s="3" t="n">
        <v>2</v>
      </c>
      <c r="K147" s="2" t="inlineStr">
        <is>
          <t>准入风险侧，直接</t>
        </is>
      </c>
      <c r="L147" s="2" t="inlineStr">
        <is>
          <t>美国白宫（经律所解读）</t>
        </is>
      </c>
      <c r="M147" s="2" t="inlineStr">
        <is>
          <t>Scenario Simulation Support</t>
        </is>
      </c>
      <c r="N147" s="2" t="inlineStr">
        <is>
          <t>supply_chain</t>
        </is>
      </c>
      <c r="O147" s="2" t="inlineStr">
        <is>
          <t>CASE_004; CASE_005; CASE_006; CASE_007; WH_002; CASE_010; TRD_001; RELOC_001; RELOC_004; RELOC_006</t>
        </is>
      </c>
      <c r="P147" s="2" t="inlineStr">
        <is>
          <t>情景A：把泰国作为单一海外生产中心；情景B：在泰国和马来西亚分散布局。基于现有企业案例、美国转运执法和贸易数据，应该如何比较两种方案的集中度与市场准入风险？</t>
        </is>
      </c>
      <c r="Q147" s="2" t="inlineStr">
        <is>
          <t>专业领域 税务 全球贸易 2026年8月13日 转运执法加紧 白宫报告《 大转运骗局 》将非法转运列为主要的关税规避风险，估计年流动额在400亿美元至3030亿美元之间，并宣布扩大使用分析和人工智能工具以识别虚假原产地索赔。 结合行政命令14411收紧的进口商问责要求，依赖供应商声明却未能证明实质性转变发生地点的进口商面临更多关税、处罚、拘留、EAPA行动及可能的刑事执法举报风险。 什么是转运？ 转运通常指通过中介国转运货物，以隐藏其真实产地并获得更优惠的关税待遇。 合法的供应链可能涉及多个国家，但当货物仅被重新标记、重新包装、重新开票、进行轻微加工，或</t>
        </is>
      </c>
    </row>
    <row r="148">
      <c r="A148" s="2" t="inlineStr">
        <is>
          <t>Q030</t>
        </is>
      </c>
      <c r="B148" s="2" t="n">
        <v>2</v>
      </c>
      <c r="C148" s="2" t="inlineStr">
        <is>
          <t>WH_002</t>
        </is>
      </c>
      <c r="D148" s="2" t="inlineStr">
        <is>
          <t>The Great Transshipment Scam: Rise, Scope, and Costs（白宫非法转运报告）</t>
        </is>
      </c>
      <c r="E148" s="2" t="inlineStr">
        <is>
          <t>原产地与转运</t>
        </is>
      </c>
      <c r="F148" s="2" t="inlineStr">
        <is>
          <t>S</t>
        </is>
      </c>
      <c r="G148" s="2" t="n">
        <v>2</v>
      </c>
      <c r="H148" s="2" t="n">
        <v>2</v>
      </c>
      <c r="I148" s="3" t="n">
        <v>2</v>
      </c>
      <c r="J148" s="3" t="n">
        <v>2</v>
      </c>
      <c r="K148" s="2" t="inlineStr">
        <is>
          <t>准入风险侧，直接</t>
        </is>
      </c>
      <c r="L148" s="2" t="inlineStr">
        <is>
          <t>美国白宫贸易与制造业政策办公室</t>
        </is>
      </c>
      <c r="M148" s="2" t="inlineStr">
        <is>
          <t>Scenario Simulation Support</t>
        </is>
      </c>
      <c r="N148" s="2" t="inlineStr">
        <is>
          <t>supply_chain</t>
        </is>
      </c>
      <c r="O148" s="2" t="inlineStr">
        <is>
          <t>CASE_004; CASE_005; CASE_006; CASE_007; WH_002; CASE_010; TRD_001; RELOC_001; RELOC_004; RELOC_006</t>
        </is>
      </c>
      <c r="P148" s="2" t="inlineStr">
        <is>
          <t>情景A：把泰国作为单一海外生产中心；情景B：在泰国和马来西亚分散布局。基于现有企业案例、美国转运执法和贸易数据，应该如何比较两种方案的集中度与市场准入风险？</t>
        </is>
      </c>
      <c r="Q148"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149">
      <c r="A149" s="2" t="inlineStr">
        <is>
          <t>Q030</t>
        </is>
      </c>
      <c r="B149" s="2" t="n">
        <v>3</v>
      </c>
      <c r="C149" s="2" t="inlineStr">
        <is>
          <t>RETURN_001</t>
        </is>
      </c>
      <c r="D149" s="2" t="inlineStr">
        <is>
          <t>恩捷股份 Yunnan Energy New Material (Semcorp)：重新评估 / 回流中国（提高中国生产比例）</t>
        </is>
      </c>
      <c r="E149" s="2" t="inlineStr">
        <is>
          <t>供应链布局</t>
        </is>
      </c>
      <c r="F149" s="2" t="inlineStr">
        <is>
          <t>S</t>
        </is>
      </c>
      <c r="G149" s="2" t="n">
        <v>1</v>
      </c>
      <c r="H149" s="2" t="n">
        <v>2</v>
      </c>
      <c r="I149" s="3" t="n">
        <v>1</v>
      </c>
      <c r="J149" s="3" t="n">
        <v>2</v>
      </c>
      <c r="K149" s="2" t="inlineStr">
        <is>
          <t>企业退出海外布局，说明集中布局风险，间接相关</t>
        </is>
      </c>
      <c r="L149" s="2" t="inlineStr">
        <is>
          <t>恩捷股份公告（经东方财富网 / 央广网报道）</t>
        </is>
      </c>
      <c r="M149" s="2" t="inlineStr">
        <is>
          <t>Scenario Simulation Support</t>
        </is>
      </c>
      <c r="N149" s="2" t="inlineStr">
        <is>
          <t>supply_chain</t>
        </is>
      </c>
      <c r="O149" s="2" t="inlineStr">
        <is>
          <t>CASE_004; CASE_005; CASE_006; CASE_007; WH_002; CASE_010; TRD_001; RELOC_001; RELOC_004; RELOC_006</t>
        </is>
      </c>
      <c r="P149" s="2" t="inlineStr">
        <is>
          <t>情景A：把泰国作为单一海外生产中心；情景B：在泰国和马来西亚分散布局。基于现有企业案例、美国转运执法和贸易数据，应该如何比较两种方案的集中度与市场准入风险？</t>
        </is>
      </c>
      <c r="Q149" s="2" t="inlineStr">
        <is>
          <t>## 一、决策前状态（Initial Situation） 生产布局：湿法锂电隔膜产能以中国为主（上海、珠海、无锡等），为全球隔膜龙头。 主要市场：中国 + 海外电池客户（含欧美）。 供应链结构：基膜与涂覆材料主要在中国生产，产品出口海外。 面临的问题：2024 年规划马来西亚隔膜项目（约 10 亿平方米/年、投资约 20 亿元）以求贴近海外客户并规避关税。 ## 二、决策触发（Decision Trigger） 触发类型：cost_change（成本变化） 触发细节：外部市场环境及行业竞争格局发生变化（隔膜价格下行、行业产能过剩、海外建厂成本高于预期）</t>
        </is>
      </c>
    </row>
    <row r="150">
      <c r="A150" s="2" t="inlineStr">
        <is>
          <t>Q030</t>
        </is>
      </c>
      <c r="B150" s="2" t="n">
        <v>4</v>
      </c>
      <c r="C150" s="2" t="inlineStr">
        <is>
          <t>RELOC_006</t>
        </is>
      </c>
      <c r="D150" s="2" t="inlineStr">
        <is>
          <t>蜂巢能源 SVOLT：中国 → 东南亚转移（多地区混合布局）</t>
        </is>
      </c>
      <c r="E150" s="2" t="inlineStr">
        <is>
          <t>供应链布局</t>
        </is>
      </c>
      <c r="F150" s="2" t="inlineStr">
        <is>
          <t>B+</t>
        </is>
      </c>
      <c r="G150" s="2" t="n">
        <v>2</v>
      </c>
      <c r="H150" s="2" t="n">
        <v>1</v>
      </c>
      <c r="I150" s="3" t="n">
        <v>2</v>
      </c>
      <c r="J150" s="3" t="n">
        <v>1</v>
      </c>
      <c r="K150" s="2" t="inlineStr">
        <is>
          <t>泰国电池厂案例，直接支持泰国单一中心方案</t>
        </is>
      </c>
      <c r="L150" s="2" t="inlineStr">
        <is>
          <t>澎湃新闻</t>
        </is>
      </c>
      <c r="M150" s="2" t="inlineStr">
        <is>
          <t>Scenario Simulation Support</t>
        </is>
      </c>
      <c r="N150" s="2" t="inlineStr">
        <is>
          <t>supply_chain</t>
        </is>
      </c>
      <c r="O150" s="2" t="inlineStr">
        <is>
          <t>CASE_004; CASE_005; CASE_006; CASE_007; WH_002; CASE_010; TRD_001; RELOC_001; RELOC_004; RELOC_006</t>
        </is>
      </c>
      <c r="P150" s="2" t="inlineStr">
        <is>
          <t>情景A：把泰国作为单一海外生产中心；情景B：在泰国和马来西亚分散布局。基于现有企业案例、美国转运执法和贸易数据，应该如何比较两种方案的集中度与市场准入风险？</t>
        </is>
      </c>
      <c r="Q150" s="2" t="inlineStr">
        <is>
          <t>Evidence ID: RELOC_006 Title: 蜂巢能源 SVOLT：中国 → 东南亚转移（多地区混合布局） Publisher: 澎湃新闻 Country/Jurisdiction: CN/TH Publication date: 2024-02-28 Status: CURRENT Topic: 供应链布局 Applicability scope: GENERAL Related industries: 动力电池 Claim: 在泰国春武里府是拉差市建设电池工厂（模组 PACK + 电芯），2024-02-28 正式投产并批量交付，配套长</t>
        </is>
      </c>
    </row>
    <row r="151">
      <c r="A151" s="2" t="inlineStr">
        <is>
          <t>Q030</t>
        </is>
      </c>
      <c r="B151" s="2" t="n">
        <v>5</v>
      </c>
      <c r="C151" s="2" t="inlineStr">
        <is>
          <t>WH_001</t>
        </is>
      </c>
      <c r="D151" s="2" t="inlineStr">
        <is>
          <t>Executive Order 14411: Strengthening Customs Enforcement（加强海关执法行政令）</t>
        </is>
      </c>
      <c r="E151" s="2" t="inlineStr">
        <is>
          <t>原产地与转运</t>
        </is>
      </c>
      <c r="F151" s="2" t="inlineStr">
        <is>
          <t>S</t>
        </is>
      </c>
      <c r="G151" s="2" t="n">
        <v>1</v>
      </c>
      <c r="H151" s="2" t="n">
        <v>2</v>
      </c>
      <c r="I151" s="3" t="n">
        <v>2</v>
      </c>
      <c r="J151" s="3" t="n">
        <v>2</v>
      </c>
      <c r="K151" s="2" t="inlineStr">
        <is>
          <t>海关执法，对应准入风险 ｜ 人工判定与Auto(1)不同，请复核</t>
        </is>
      </c>
      <c r="L151" s="2" t="inlineStr">
        <is>
          <t>美国白宫</t>
        </is>
      </c>
      <c r="M151" s="2" t="inlineStr">
        <is>
          <t>Scenario Simulation Support</t>
        </is>
      </c>
      <c r="N151" s="2" t="inlineStr">
        <is>
          <t>supply_chain</t>
        </is>
      </c>
      <c r="O151" s="2" t="inlineStr">
        <is>
          <t>CASE_004; CASE_005; CASE_006; CASE_007; WH_002; CASE_010; TRD_001; RELOC_001; RELOC_004; RELOC_006</t>
        </is>
      </c>
      <c r="P151" s="2" t="inlineStr">
        <is>
          <t>情景A：把泰国作为单一海外生产中心；情景B：在泰国和马来西亚分散布局。基于现有企业案例、美国转运执法和贸易数据，应该如何比较两种方案的集中度与市场准入风险？</t>
        </is>
      </c>
      <c r="Q151" s="2"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row>
  </sheetData>
  <autoFilter ref="A1:Q151"/>
  <dataValidations count="1">
    <dataValidation sqref="I2:J151" showDropDown="0" showInputMessage="0" showErrorMessage="0" allowBlank="1" type="list">
      <formula1>"0,1,2"</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8" customWidth="1" min="2" max="2"/>
    <col width="12" customWidth="1" min="3" max="3"/>
    <col width="12" customWidth="1" min="4" max="4"/>
    <col width="12" customWidth="1" min="5" max="5"/>
    <col width="12" customWidth="1" min="6" max="6"/>
    <col width="44" customWidth="1" min="7" max="7"/>
    <col width="20" customWidth="1" min="8" max="8"/>
    <col width="16" customWidth="1" min="9" max="9"/>
    <col width="60" customWidth="1" min="10" max="10"/>
    <col width="24" customWidth="1" min="11" max="11"/>
    <col width="40" customWidth="1" min="12" max="12"/>
  </cols>
  <sheetData>
    <row r="1" ht="32" customHeight="1">
      <c r="A1" s="4" t="inlineStr">
        <is>
          <t>Question ID</t>
        </is>
      </c>
      <c r="B1" s="4" t="inlineStr">
        <is>
          <t>Hit@5</t>
        </is>
      </c>
      <c r="C1" s="4" t="inlineStr">
        <is>
          <t>Gold Hits in Top-5</t>
        </is>
      </c>
      <c r="D1" s="4" t="inlineStr">
        <is>
          <t>Avg Relevance (0-2)</t>
        </is>
      </c>
      <c r="E1" s="4" t="inlineStr">
        <is>
          <t>Avg Authority (0-2)</t>
        </is>
      </c>
      <c r="F1" s="4" t="inlineStr">
        <is>
          <t>Coverage (0/1/2)</t>
        </is>
      </c>
      <c r="G1" s="4" t="inlineStr">
        <is>
          <t>Notes</t>
        </is>
      </c>
      <c r="H1" s="4" t="inlineStr">
        <is>
          <t>Scenario Category</t>
        </is>
      </c>
      <c r="I1" s="4" t="inlineStr">
        <is>
          <t>Expected Topic</t>
        </is>
      </c>
      <c r="J1" s="4" t="inlineStr">
        <is>
          <t>Question</t>
        </is>
      </c>
      <c r="K1" s="4" t="inlineStr">
        <is>
          <t>Expected Evidence IDs</t>
        </is>
      </c>
      <c r="L1" s="4" t="inlineStr">
        <is>
          <t>Top-5 Retrieved IDs</t>
        </is>
      </c>
    </row>
    <row r="2">
      <c r="A2" s="2" t="inlineStr">
        <is>
          <t>Q001</t>
        </is>
      </c>
      <c r="B2" s="2" t="n">
        <v>1</v>
      </c>
      <c r="C2" s="2" t="n">
        <v>3</v>
      </c>
      <c r="D2" s="2">
        <f>IFERROR(AVERAGEIF('Item Scoring'!$A$2:$A$151,$A2,'Item Scoring'!$I$2:$I$151),"")</f>
        <v/>
      </c>
      <c r="E2" s="3">
        <f>IFERROR(AVERAGEIF('Item Scoring'!$A$2:$A$151,$A2,'Item Scoring'!$J$2:$J$151),"")</f>
        <v/>
      </c>
      <c r="F2" s="3" t="n">
        <v>2</v>
      </c>
      <c r="G2" s="3" t="inlineStr">
        <is>
          <t>泰国扩产案例充足，且新增回流案例可作节奏反向参照</t>
        </is>
      </c>
      <c r="H2" s="2" t="inlineStr">
        <is>
          <t>Company Intelligence</t>
        </is>
      </c>
      <c r="I2" s="2" t="inlineStr">
        <is>
          <t>supply_chain</t>
        </is>
      </c>
      <c r="J2" s="2" t="inlineStr">
        <is>
          <t>我们正在评估把部分产能转移到泰国。现有企业案例显示，哪些中国制造企业已经在泰国建设或扩充产能？这些案例能为海外建厂节奏提供什么参考？</t>
        </is>
      </c>
      <c r="K2" s="2" t="inlineStr">
        <is>
          <t>RELOC_001; RELOC_002; RELOC_006; CASE_004; CASE_005; CASE_006; CASE_008</t>
        </is>
      </c>
      <c r="L2" s="2" t="inlineStr">
        <is>
          <t>RELOC_006; RETURN_004; RELOC_003; RELOC_002; RELOC_001</t>
        </is>
      </c>
    </row>
    <row r="3">
      <c r="A3" s="2" t="inlineStr">
        <is>
          <t>Q002</t>
        </is>
      </c>
      <c r="B3" s="2" t="n">
        <v>1</v>
      </c>
      <c r="C3" s="2" t="n">
        <v>5</v>
      </c>
      <c r="D3" s="2">
        <f>IFERROR(AVERAGEIF('Item Scoring'!$A$2:$A$151,$A3,'Item Scoring'!$I$2:$I$151),"")</f>
        <v/>
      </c>
      <c r="E3" s="3">
        <f>IFERROR(AVERAGEIF('Item Scoring'!$A$2:$A$151,$A3,'Item Scoring'!$J$2:$J$151),"")</f>
        <v/>
      </c>
      <c r="F3" s="3" t="n">
        <v>2</v>
      </c>
      <c r="G3" s="3" t="inlineStr">
        <is>
          <t>马来西亚布局案例（含电池链）+ 美国官方转运判断均已覆盖</t>
        </is>
      </c>
      <c r="H3" s="2" t="inlineStr">
        <is>
          <t>Company Intelligence</t>
        </is>
      </c>
      <c r="I3" s="2" t="inlineStr">
        <is>
          <t>supply_chain</t>
        </is>
      </c>
      <c r="J3" s="2" t="inlineStr">
        <is>
          <t>如果管理层想了解中国企业在马来西亚布局以降低地缘风险的公开案例，以及美国官方对马来西亚转运/原产地风险的判断，现有证据库里有哪些直接证据可参考？</t>
        </is>
      </c>
      <c r="K3" s="2" t="inlineStr">
        <is>
          <t>RELOC_004; RETURN_001; PLUS1_004; CASE_007; CASE_008; CASE_010</t>
        </is>
      </c>
      <c r="L3" s="2" t="inlineStr">
        <is>
          <t>RETURN_001; RELOC_004; CASE_007; PLUS1_004; CASE_010</t>
        </is>
      </c>
    </row>
    <row r="4">
      <c r="A4" s="2" t="inlineStr">
        <is>
          <t>Q003</t>
        </is>
      </c>
      <c r="B4" s="2" t="n">
        <v>1</v>
      </c>
      <c r="C4" s="2" t="n">
        <v>5</v>
      </c>
      <c r="D4" s="2">
        <f>IFERROR(AVERAGEIF('Item Scoring'!$A$2:$A$151,$A4,'Item Scoring'!$I$2:$I$151),"")</f>
        <v/>
      </c>
      <c r="E4" s="3">
        <f>IFERROR(AVERAGEIF('Item Scoring'!$A$2:$A$151,$A4,'Item Scoring'!$J$2:$J$151),"")</f>
        <v/>
      </c>
      <c r="F4" s="3" t="n">
        <v>2</v>
      </c>
      <c r="G4" s="3" t="inlineStr">
        <is>
          <t>回流/撤出案例充足；RETURN_002 因「回流」未证实记为部分相关，不影响覆盖</t>
        </is>
      </c>
      <c r="H4" s="2" t="inlineStr">
        <is>
          <t>Company Intelligence</t>
        </is>
      </c>
      <c r="I4" s="2" t="inlineStr">
        <is>
          <t>supply_chain</t>
        </is>
      </c>
      <c r="J4" s="2" t="inlineStr">
        <is>
          <t>我们想判断企业是否会因为关税规避型海外迁移效果不佳而回流中国。现有案例中有没有订单先转移海外、随后回流并放弃海外建厂的实例？</t>
        </is>
      </c>
      <c r="K4" s="2" t="inlineStr">
        <is>
          <t>CASE_001; RETURN_001; RETURN_002; RETURN_003; RETURN_004</t>
        </is>
      </c>
      <c r="L4" s="2" t="inlineStr">
        <is>
          <t>CASE_001; RETURN_001; RETURN_004; RETURN_002; RETURN_003</t>
        </is>
      </c>
    </row>
    <row r="5">
      <c r="A5" s="2" t="inlineStr">
        <is>
          <t>Q004</t>
        </is>
      </c>
      <c r="B5" s="2" t="n">
        <v>1</v>
      </c>
      <c r="C5" s="2" t="n">
        <v>4</v>
      </c>
      <c r="D5" s="2">
        <f>IFERROR(AVERAGEIF('Item Scoring'!$A$2:$A$151,$A5,'Item Scoring'!$I$2:$I$151),"")</f>
        <v/>
      </c>
      <c r="E5" s="3">
        <f>IFERROR(AVERAGEIF('Item Scoring'!$A$2:$A$151,$A5,'Item Scoring'!$J$2:$J$151),"")</f>
        <v/>
      </c>
      <c r="F5" s="3" t="n">
        <v>2</v>
      </c>
      <c r="G5" s="3" t="inlineStr">
        <is>
          <t>东南亚电池链布局案例齐全，客户/地缘关联明确</t>
        </is>
      </c>
      <c r="H5" s="2" t="inlineStr">
        <is>
          <t>Company Intelligence</t>
        </is>
      </c>
      <c r="I5" s="2" t="inlineStr">
        <is>
          <t>supply_chain</t>
        </is>
      </c>
      <c r="J5" s="2" t="inlineStr">
        <is>
          <t>对于计划在东南亚扩产、服务欧美客户的制造企业，现有企业案例如何说明海外工厂布局与客户合作/地缘风险之间的关系？</t>
        </is>
      </c>
      <c r="K5" s="2" t="inlineStr">
        <is>
          <t>CASE_004; CASE_005; CASE_006; CASE_007; CASE_008; RELOC_003; RELOC_004; RELOC_005; RELOC_006</t>
        </is>
      </c>
      <c r="L5" s="2" t="inlineStr">
        <is>
          <t>RELOC_005; RELOC_004; RELOC_003; RELOC_006; RETURN_001</t>
        </is>
      </c>
    </row>
    <row r="6">
      <c r="A6" s="2" t="inlineStr">
        <is>
          <t>Q005</t>
        </is>
      </c>
      <c r="B6" s="2" t="n">
        <v>1</v>
      </c>
      <c r="C6" s="2" t="n">
        <v>3</v>
      </c>
      <c r="D6" s="2">
        <f>IFERROR(AVERAGEIF('Item Scoring'!$A$2:$A$151,$A6,'Item Scoring'!$I$2:$I$151),"")</f>
        <v/>
      </c>
      <c r="E6" s="3">
        <f>IFERROR(AVERAGEIF('Item Scoring'!$A$2:$A$151,$A6,'Item Scoring'!$J$2:$J$151),"")</f>
        <v/>
      </c>
      <c r="F6" s="3" t="n">
        <v>2</v>
      </c>
      <c r="G6" s="3" t="inlineStr">
        <is>
          <t>规避/未规避双向判例 + 官方终裁齐全</t>
        </is>
      </c>
      <c r="H6" s="2" t="inlineStr">
        <is>
          <t>Company Intelligence</t>
        </is>
      </c>
      <c r="I6" s="2" t="inlineStr">
        <is>
          <t>trade_policy</t>
        </is>
      </c>
      <c r="J6" s="2" t="inlineStr">
        <is>
          <t>同样在东南亚生产，为什么有的企业可能被认定为规避、有的却没有？请用现有对照案例说明供应链结构和工序布局对结果的影响。</t>
        </is>
      </c>
      <c r="K6" s="2" t="inlineStr">
        <is>
          <t>CASE_002; CASE_003; CASE_010; DOC_001</t>
        </is>
      </c>
      <c r="L6" s="2" t="inlineStr">
        <is>
          <t>CASE_003; CASE_002; DOC_001; RELOC_005; RETURN_001</t>
        </is>
      </c>
    </row>
    <row r="7">
      <c r="A7" s="2" t="inlineStr">
        <is>
          <t>Q006</t>
        </is>
      </c>
      <c r="B7" s="2" t="n">
        <v>1</v>
      </c>
      <c r="C7" s="2" t="n">
        <v>4</v>
      </c>
      <c r="D7" s="2">
        <f>IFERROR(AVERAGEIF('Item Scoring'!$A$2:$A$151,$A7,'Item Scoring'!$I$2:$I$151),"")</f>
        <v/>
      </c>
      <c r="E7" s="3">
        <f>IFERROR(AVERAGEIF('Item Scoring'!$A$2:$A$151,$A7,'Item Scoring'!$J$2:$J$151),"")</f>
        <v/>
      </c>
      <c r="F7" s="3" t="n">
        <v>2</v>
      </c>
      <c r="G7" s="3" t="inlineStr">
        <is>
          <t>中国目录与暂停 + 美方穿透规则齐全</t>
        </is>
      </c>
      <c r="H7" s="2" t="inlineStr">
        <is>
          <t>Policy / Trade Risk</t>
        </is>
      </c>
      <c r="I7" s="2" t="inlineStr">
        <is>
          <t>export_control</t>
        </is>
      </c>
      <c r="J7" s="2" t="inlineStr">
        <is>
          <t>一家中国电池材料企业向美国客户出口含石墨、镓或锗相关物项时，2026年应重点核查哪些中国出口管制目录和暂停措施，以及美方关联企业（50%穿透）规则？</t>
        </is>
      </c>
      <c r="K7" s="2" t="inlineStr">
        <is>
          <t>BIS_001; BIS_002; MOFCOM_001; MOFCOM_002</t>
        </is>
      </c>
      <c r="L7" s="2" t="inlineStr">
        <is>
          <t>BIS_001; BIS_002; MOFCOM_001; CASE_009; MOFCOM_002</t>
        </is>
      </c>
    </row>
    <row r="8">
      <c r="A8" s="2" t="inlineStr">
        <is>
          <t>Q007</t>
        </is>
      </c>
      <c r="B8" s="2" t="n">
        <v>1</v>
      </c>
      <c r="C8" s="2" t="n">
        <v>4</v>
      </c>
      <c r="D8" s="2">
        <f>IFERROR(AVERAGEIF('Item Scoring'!$A$2:$A$151,$A8,'Item Scoring'!$I$2:$I$151),"")</f>
        <v/>
      </c>
      <c r="E8" s="3">
        <f>IFERROR(AVERAGEIF('Item Scoring'!$A$2:$A$151,$A8,'Item Scoring'!$J$2:$J$151),"")</f>
        <v/>
      </c>
      <c r="F8" s="3" t="n">
        <v>2</v>
      </c>
      <c r="G8" s="3" t="inlineStr">
        <is>
          <t>规则、暂停期、筛查清单齐全</t>
        </is>
      </c>
      <c r="H8" s="2" t="inlineStr">
        <is>
          <t>Policy / Trade Risk</t>
        </is>
      </c>
      <c r="I8" s="2" t="inlineStr">
        <is>
          <t>export_control</t>
        </is>
      </c>
      <c r="J8" s="2" t="inlineStr">
        <is>
          <t>美国客户的母公司或关联公司被列入Entity List或MEU List时，我们应如何判断50%持股穿透规则是否会影响交易？当前暂停期又如何改变时间判断？</t>
        </is>
      </c>
      <c r="K8" s="2" t="inlineStr">
        <is>
          <t>BIS_001; BIS_002; CASE_009; ITA_001</t>
        </is>
      </c>
      <c r="L8" s="2" t="inlineStr">
        <is>
          <t>CASE_009; BIS_001; BIS_002; ITA_001; FR_001</t>
        </is>
      </c>
    </row>
    <row r="9">
      <c r="A9" s="2" t="inlineStr">
        <is>
          <t>Q008</t>
        </is>
      </c>
      <c r="B9" s="2" t="n">
        <v>1</v>
      </c>
      <c r="C9" s="2" t="n">
        <v>3</v>
      </c>
      <c r="D9" s="2">
        <f>IFERROR(AVERAGEIF('Item Scoring'!$A$2:$A$151,$A9,'Item Scoring'!$I$2:$I$151),"")</f>
        <v/>
      </c>
      <c r="E9" s="3">
        <f>IFERROR(AVERAGEIF('Item Scoring'!$A$2:$A$151,$A9,'Item Scoring'!$J$2:$J$151),"")</f>
        <v/>
      </c>
      <c r="F9" s="3" t="n">
        <v>2</v>
      </c>
      <c r="G9" s="3" t="inlineStr">
        <is>
          <t>暂停期与恢复时点齐全，可直接判断窗口</t>
        </is>
      </c>
      <c r="H9" s="2" t="inlineStr">
        <is>
          <t>Policy / Trade Risk</t>
        </is>
      </c>
      <c r="I9" s="2" t="inlineStr">
        <is>
          <t>export_control</t>
        </is>
      </c>
      <c r="J9" s="2" t="inlineStr">
        <is>
          <t>我们准备在2026年11月前后签署一份对美长期供货合同。BIS关联企业规则的暂停与恢复时间线会带来什么合规窗口风险？</t>
        </is>
      </c>
      <c r="K9" s="2" t="inlineStr">
        <is>
          <t>BIS_001; BIS_002; CASE_009; FR_001</t>
        </is>
      </c>
      <c r="L9" s="2" t="inlineStr">
        <is>
          <t>BIS_002; CASE_009; BIS_001; ITA_001; MOFCOM_002</t>
        </is>
      </c>
    </row>
    <row r="10">
      <c r="A10" s="2" t="inlineStr">
        <is>
          <t>Q009</t>
        </is>
      </c>
      <c r="B10" s="2" t="n">
        <v>1</v>
      </c>
      <c r="C10" s="2" t="n">
        <v>4</v>
      </c>
      <c r="D10" s="2">
        <f>IFERROR(AVERAGEIF('Item Scoring'!$A$2:$A$151,$A10,'Item Scoring'!$I$2:$I$151),"")</f>
        <v/>
      </c>
      <c r="E10" s="3">
        <f>IFERROR(AVERAGEIF('Item Scoring'!$A$2:$A$151,$A10,'Item Scoring'!$J$2:$J$151),"")</f>
        <v/>
      </c>
      <c r="F10" s="3" t="n">
        <v>2</v>
      </c>
      <c r="G10" s="3" t="inlineStr">
        <is>
          <t>政策方向 + 执法先例齐全</t>
        </is>
      </c>
      <c r="H10" s="2" t="inlineStr">
        <is>
          <t>Policy / Trade Risk</t>
        </is>
      </c>
      <c r="I10" s="2" t="inlineStr">
        <is>
          <t>trade_policy</t>
        </is>
      </c>
      <c r="J10" s="2" t="inlineStr">
        <is>
          <t>公司计划通过越南、泰国或马来西亚完成部分加工后出口美国。美国当前对非法转运和原产地执法的政策方向会带来哪些额外风险？</t>
        </is>
      </c>
      <c r="K10" s="2" t="inlineStr">
        <is>
          <t>WH_001; WH_002; CASE_010; CSIS_001</t>
        </is>
      </c>
      <c r="L10" s="2" t="inlineStr">
        <is>
          <t>WH_002; CASE_010; WH_001; CASE_002; CSIS_001</t>
        </is>
      </c>
    </row>
    <row r="11">
      <c r="A11" s="2" t="inlineStr">
        <is>
          <t>Q010</t>
        </is>
      </c>
      <c r="B11" s="2" t="n">
        <v>1</v>
      </c>
      <c r="C11" s="2" t="n">
        <v>2</v>
      </c>
      <c r="D11" s="2">
        <f>IFERROR(AVERAGEIF('Item Scoring'!$A$2:$A$151,$A11,'Item Scoring'!$I$2:$I$151),"")</f>
        <v/>
      </c>
      <c r="E11" s="3">
        <f>IFERROR(AVERAGEIF('Item Scoring'!$A$2:$A$151,$A11,'Item Scoring'!$J$2:$J$151),"")</f>
        <v/>
      </c>
      <c r="F11" s="3" t="n">
        <v>1</v>
      </c>
      <c r="G11" s="3" t="inlineStr">
        <is>
          <t>判例仅命中2条（CASE_002/CASE_010），第2/3名案例证据与该假设无关</t>
        </is>
      </c>
      <c r="H11" s="2" t="inlineStr">
        <is>
          <t>Policy / Trade Risk</t>
        </is>
      </c>
      <c r="I11" s="2" t="inlineStr">
        <is>
          <t>trade_policy</t>
        </is>
      </c>
      <c r="J11" s="2" t="inlineStr">
        <is>
          <t>如果我们想用历史执法案例评估‘在东南亚加工就能改变原产地并避开美国贸易救济措施’这一假设，现有证据支持什么判断？</t>
        </is>
      </c>
      <c r="K11" s="2" t="inlineStr">
        <is>
          <t>CASE_002; CASE_003; CASE_010; DOC_001; WH_002</t>
        </is>
      </c>
      <c r="L11" s="2" t="inlineStr">
        <is>
          <t>CASE_002; RETURN_001; RETURN_004; CASE_010; RELOC_005</t>
        </is>
      </c>
    </row>
    <row r="12">
      <c r="A12" s="2" t="inlineStr">
        <is>
          <t>Q011</t>
        </is>
      </c>
      <c r="B12" s="2" t="n">
        <v>1</v>
      </c>
      <c r="C12" s="2" t="n">
        <v>2</v>
      </c>
      <c r="D12" s="2">
        <f>IFERROR(AVERAGEIF('Item Scoring'!$A$2:$A$151,$A12,'Item Scoring'!$I$2:$I$151),"")</f>
        <v/>
      </c>
      <c r="E12" s="3">
        <f>IFERROR(AVERAGEIF('Item Scoring'!$A$2:$A$151,$A12,'Item Scoring'!$J$2:$J$151),"")</f>
        <v/>
      </c>
      <c r="F12" s="3" t="n">
        <v>1</v>
      </c>
      <c r="G12" s="3" t="inlineStr">
        <is>
          <t>仅命中中国规则与IMF证据，缺UNCTAD国际投资趋势</t>
        </is>
      </c>
      <c r="H12" s="2" t="inlineStr">
        <is>
          <t>Policy / Trade Risk</t>
        </is>
      </c>
      <c r="I12" s="2" t="inlineStr">
        <is>
          <t>investment_policy</t>
        </is>
      </c>
      <c r="J12" s="2" t="inlineStr">
        <is>
          <t>一家中国制造企业计划新建海外工厂。2026年中国对外投资制度中有哪些官方规则、以及哪些国际投资环境证据，应纳入项目立项和合规评估？</t>
        </is>
      </c>
      <c r="K12" s="2" t="inlineStr">
        <is>
          <t>CNGOV_001; IMF_001; UNCTAD_001</t>
        </is>
      </c>
      <c r="L12" s="2" t="inlineStr">
        <is>
          <t>IMF_001; RETURN_001; CNGOV_001; RETURN_004; RELOC_004</t>
        </is>
      </c>
    </row>
    <row r="13">
      <c r="A13" s="2" t="inlineStr">
        <is>
          <t>Q012</t>
        </is>
      </c>
      <c r="B13" s="2" t="n">
        <v>1</v>
      </c>
      <c r="C13" s="2" t="n">
        <v>2</v>
      </c>
      <c r="D13" s="2">
        <f>IFERROR(AVERAGEIF('Item Scoring'!$A$2:$A$151,$A13,'Item Scoring'!$I$2:$I$151),"")</f>
        <v/>
      </c>
      <c r="E13" s="3">
        <f>IFERROR(AVERAGEIF('Item Scoring'!$A$2:$A$151,$A13,'Item Scoring'!$J$2:$J$151),"")</f>
        <v/>
      </c>
      <c r="F13" s="3" t="n">
        <v>1</v>
      </c>
      <c r="G13" s="3" t="inlineStr">
        <is>
          <t>仅WEF+UNCTAD命中，缺IMF碎片化框架与麦肯锡情景证据</t>
        </is>
      </c>
      <c r="H13" s="2" t="inlineStr">
        <is>
          <t>Policy / Trade Risk</t>
        </is>
      </c>
      <c r="I13" s="2" t="inlineStr">
        <is>
          <t>investment_policy</t>
        </is>
      </c>
      <c r="J13" s="2" t="inlineStr">
        <is>
          <t>管理层需要判断地缘经济碎片化是否会持续影响跨境投资决策。哪些国际组织证据可以支持这一政策/投资风险判断？</t>
        </is>
      </c>
      <c r="K13" s="2" t="inlineStr">
        <is>
          <t>IMF_001; MCK_001; UNCTAD_001; WEF_001</t>
        </is>
      </c>
      <c r="L13" s="2" t="inlineStr">
        <is>
          <t>WEF_001; UNCTAD_001; CNGOV_001; RETURN_001; RELOC_005</t>
        </is>
      </c>
    </row>
    <row r="14">
      <c r="A14" s="2" t="inlineStr">
        <is>
          <t>Q013</t>
        </is>
      </c>
      <c r="B14" s="2" t="n">
        <v>1</v>
      </c>
      <c r="C14" s="2" t="n">
        <v>3</v>
      </c>
      <c r="D14" s="2">
        <f>IFERROR(AVERAGEIF('Item Scoring'!$A$2:$A$151,$A14,'Item Scoring'!$I$2:$I$151),"")</f>
        <v/>
      </c>
      <c r="E14" s="3">
        <f>IFERROR(AVERAGEIF('Item Scoring'!$A$2:$A$151,$A14,'Item Scoring'!$J$2:$J$151),"")</f>
        <v/>
      </c>
      <c r="F14" s="3" t="n">
        <v>2</v>
      </c>
      <c r="G14" s="3" t="inlineStr">
        <is>
          <t>贸易、投资、风险三类高权威证据基本齐全</t>
        </is>
      </c>
      <c r="H14" s="2" t="inlineStr">
        <is>
          <t>Policy / Trade Risk</t>
        </is>
      </c>
      <c r="I14" s="2" t="inlineStr">
        <is>
          <t>trade_policy</t>
        </is>
      </c>
      <c r="J14" s="2" t="inlineStr">
        <is>
          <t>我们需要给董事会解释2026年全球贸易环境是否正在恶化，以及这种环境为什么会提高海外布局的不确定性。现有高权威证据有哪些？</t>
        </is>
      </c>
      <c r="K14" s="2" t="inlineStr">
        <is>
          <t>IMF_001; MCK_001; UNCTAD_001; WEF_001; WTO_001</t>
        </is>
      </c>
      <c r="L14" s="2" t="inlineStr">
        <is>
          <t>UNCTAD_001; RETURN_004; IMF_001; RETURN_001; WTO_001</t>
        </is>
      </c>
    </row>
    <row r="15">
      <c r="A15" s="2" t="inlineStr">
        <is>
          <t>Q014</t>
        </is>
      </c>
      <c r="B15" s="2" t="n">
        <v>1</v>
      </c>
      <c r="C15" s="2" t="n">
        <v>4</v>
      </c>
      <c r="D15" s="2">
        <f>IFERROR(AVERAGEIF('Item Scoring'!$A$2:$A$151,$A15,'Item Scoring'!$I$2:$I$151),"")</f>
        <v/>
      </c>
      <c r="E15" s="3">
        <f>IFERROR(AVERAGEIF('Item Scoring'!$A$2:$A$151,$A15,'Item Scoring'!$J$2:$J$151),"")</f>
        <v/>
      </c>
      <c r="F15" s="3" t="n">
        <v>2</v>
      </c>
      <c r="G15" s="3" t="inlineStr">
        <is>
          <t>筛查数据源与应关注规则齐全</t>
        </is>
      </c>
      <c r="H15" s="2" t="inlineStr">
        <is>
          <t>Policy / Trade Risk</t>
        </is>
      </c>
      <c r="I15" s="2" t="inlineStr">
        <is>
          <t>export_control</t>
        </is>
      </c>
      <c r="J15" s="2" t="inlineStr">
        <is>
          <t>合规团队要建立美国受限方筛查流程。现有证据库中哪个官方数据源最适合用于企业/客户名称筛查？同时应关注哪些出口管制规则？</t>
        </is>
      </c>
      <c r="K15" s="2" t="inlineStr">
        <is>
          <t>BIS_001; BIS_002; CASE_009; ITA_001</t>
        </is>
      </c>
      <c r="L15" s="2" t="inlineStr">
        <is>
          <t>ITA_001; CASE_009; BIS_002; BIS_001; FR_001</t>
        </is>
      </c>
    </row>
    <row r="16">
      <c r="A16" s="2" t="inlineStr">
        <is>
          <t>Q015</t>
        </is>
      </c>
      <c r="B16" s="2" t="n">
        <v>1</v>
      </c>
      <c r="C16" s="2" t="n">
        <v>2</v>
      </c>
      <c r="D16" s="2">
        <f>IFERROR(AVERAGEIF('Item Scoring'!$A$2:$A$151,$A16,'Item Scoring'!$I$2:$I$151),"")</f>
        <v/>
      </c>
      <c r="E16" s="3">
        <f>IFERROR(AVERAGEIF('Item Scoring'!$A$2:$A$151,$A16,'Item Scoring'!$J$2:$J$151),"")</f>
        <v/>
      </c>
      <c r="F16" s="3" t="n">
        <v>2</v>
      </c>
      <c r="G16" s="3" t="inlineStr">
        <is>
          <t>新规监测与受限方筛查两个入口均命中</t>
        </is>
      </c>
      <c r="H16" s="2" t="inlineStr">
        <is>
          <t>Policy / Trade Risk</t>
        </is>
      </c>
      <c r="I16" s="2" t="inlineStr">
        <is>
          <t>regulation</t>
        </is>
      </c>
      <c r="J16"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K16" s="2" t="inlineStr">
        <is>
          <t>FR_001; ITA_001</t>
        </is>
      </c>
      <c r="L16" s="2" t="inlineStr">
        <is>
          <t>FR_001; ITA_001; CASE_009; BIS_002; BIS_001</t>
        </is>
      </c>
    </row>
    <row r="17">
      <c r="A17" s="2" t="inlineStr">
        <is>
          <t>Q016</t>
        </is>
      </c>
      <c r="B17" s="2" t="n">
        <v>1</v>
      </c>
      <c r="C17" s="2" t="n">
        <v>2</v>
      </c>
      <c r="D17" s="2">
        <f>IFERROR(AVERAGEIF('Item Scoring'!$A$2:$A$151,$A17,'Item Scoring'!$I$2:$I$151),"")</f>
        <v/>
      </c>
      <c r="E17" s="3">
        <f>IFERROR(AVERAGEIF('Item Scoring'!$A$2:$A$151,$A17,'Item Scoring'!$J$2:$J$151),"")</f>
        <v/>
      </c>
      <c r="F17" s="3" t="n">
        <v>1</v>
      </c>
      <c r="G17" s="3" t="inlineStr">
        <is>
          <t>贸易数据两侧齐全，但缺政策侧证据（CASE_010未命中）</t>
        </is>
      </c>
      <c r="H17" s="2" t="inlineStr">
        <is>
          <t>Supply Chain Risk</t>
        </is>
      </c>
      <c r="I17" s="2" t="inlineStr">
        <is>
          <t>supply_chain</t>
        </is>
      </c>
      <c r="J17" s="2" t="inlineStr">
        <is>
          <t>我们要判断美国EV/电池进口是否正在从中国向越南、泰国、马来西亚转移。现有哪组贸易数据与政策证据最直接支持这个供应链迁移分析？</t>
        </is>
      </c>
      <c r="K17" s="2" t="inlineStr">
        <is>
          <t>CASE_010; TRD_001; TRD_003</t>
        </is>
      </c>
      <c r="L17" s="2" t="inlineStr">
        <is>
          <t>TRD_001; RELOC_006; RELOC_003; RELOC_004; TRD_003</t>
        </is>
      </c>
    </row>
    <row r="18">
      <c r="A18" s="2" t="inlineStr">
        <is>
          <t>Q017</t>
        </is>
      </c>
      <c r="B18" s="2" t="n">
        <v>1</v>
      </c>
      <c r="C18" s="2" t="n">
        <v>3</v>
      </c>
      <c r="D18" s="2">
        <f>IFERROR(AVERAGEIF('Item Scoring'!$A$2:$A$151,$A18,'Item Scoring'!$I$2:$I$151),"")</f>
        <v/>
      </c>
      <c r="E18" s="3">
        <f>IFERROR(AVERAGEIF('Item Scoring'!$A$2:$A$151,$A18,'Item Scoring'!$J$2:$J$151),"")</f>
        <v/>
      </c>
      <c r="F18" s="3" t="n">
        <v>2</v>
      </c>
      <c r="G18" s="3" t="inlineStr">
        <is>
          <t>数据与政策可组合回答</t>
        </is>
      </c>
      <c r="H18" s="2" t="inlineStr">
        <is>
          <t>Supply Chain Risk</t>
        </is>
      </c>
      <c r="I18" s="2" t="inlineStr">
        <is>
          <t>supplier_dependency</t>
        </is>
      </c>
      <c r="J18" s="2" t="inlineStr">
        <is>
          <t>如果东南亚工厂仍大量依赖来自中国的中间品，企业的‘China+1’布局可能存在哪类供应商依赖和原产地风险？现有数据与政策证据如何组合？</t>
        </is>
      </c>
      <c r="K18" s="2" t="inlineStr">
        <is>
          <t>CASE_010; CSIS_001; TRD_003; WH_002</t>
        </is>
      </c>
      <c r="L18" s="2" t="inlineStr">
        <is>
          <t>TRD_003; CASE_010; RELOC_005; RELOC_003; WH_002</t>
        </is>
      </c>
    </row>
    <row r="19">
      <c r="A19" s="2" t="inlineStr">
        <is>
          <t>Q018</t>
        </is>
      </c>
      <c r="B19" s="2" t="n">
        <v>1</v>
      </c>
      <c r="C19" s="2" t="n">
        <v>2</v>
      </c>
      <c r="D19" s="2">
        <f>IFERROR(AVERAGEIF('Item Scoring'!$A$2:$A$151,$A19,'Item Scoring'!$I$2:$I$151),"")</f>
        <v/>
      </c>
      <c r="E19" s="3">
        <f>IFERROR(AVERAGEIF('Item Scoring'!$A$2:$A$151,$A19,'Item Scoring'!$J$2:$J$151),"")</f>
        <v/>
      </c>
      <c r="F19" s="3" t="n">
        <v>1</v>
      </c>
      <c r="G19" s="3" t="inlineStr">
        <is>
          <t>案例侧仅命中RELOC_005/006/004/002/RETURN_001，缺中间品数据与反规避判例</t>
        </is>
      </c>
      <c r="H19" s="2" t="inlineStr">
        <is>
          <t>Supply Chain Risk</t>
        </is>
      </c>
      <c r="I19" s="2" t="inlineStr">
        <is>
          <t>supply_chain</t>
        </is>
      </c>
      <c r="J19" s="2" t="inlineStr">
        <is>
          <t>管理层正在比较中国本土生产与东南亚生产。现有案例是否表明仅把最终生产环节迁往东南亚并不能完全隔离贸易与供应链风险？</t>
        </is>
      </c>
      <c r="K19" s="2" t="inlineStr">
        <is>
          <t>CASE_001; CASE_002; CASE_003; CASE_008; TRD_003; RELOC_001; RELOC_003; RELOC_006; RETURN_001</t>
        </is>
      </c>
      <c r="L19" s="2" t="inlineStr">
        <is>
          <t>RELOC_005; RELOC_006; RELOC_004; RELOC_002; RETURN_001</t>
        </is>
      </c>
    </row>
    <row r="20">
      <c r="A20" s="2" t="inlineStr">
        <is>
          <t>Q019</t>
        </is>
      </c>
      <c r="B20" s="2" t="n">
        <v>1</v>
      </c>
      <c r="C20" s="2" t="n">
        <v>2</v>
      </c>
      <c r="D20" s="2">
        <f>IFERROR(AVERAGEIF('Item Scoring'!$A$2:$A$151,$A20,'Item Scoring'!$I$2:$I$151),"")</f>
        <v/>
      </c>
      <c r="E20" s="3">
        <f>IFERROR(AVERAGEIF('Item Scoring'!$A$2:$A$151,$A20,'Item Scoring'!$J$2:$J$151),"")</f>
        <v/>
      </c>
      <c r="F20" s="3" t="n">
        <v>1</v>
      </c>
      <c r="G20" s="3" t="inlineStr">
        <is>
          <t>企业案例齐全，但缺供应链调查证据（KPMG_001未命中）</t>
        </is>
      </c>
      <c r="H20" s="2" t="inlineStr">
        <is>
          <t>Supply Chain Risk</t>
        </is>
      </c>
      <c r="I20" s="2" t="inlineStr">
        <is>
          <t>supply_chain</t>
        </is>
      </c>
      <c r="J20" s="2" t="inlineStr">
        <is>
          <t>我们要做供应链韧性方案，哪些证据可以说明大企业正在调整供应链布局，以及企业在海外扩产时可能面临哪些执行风险？</t>
        </is>
      </c>
      <c r="K20" s="2" t="inlineStr">
        <is>
          <t>CASE_001; CASE_004; CASE_005; CASE_006; CASE_008; KPMG_001; PLUS1_001; PLUS1_002; RELOC_001</t>
        </is>
      </c>
      <c r="L20" s="2" t="inlineStr">
        <is>
          <t>RELOC_005; RETURN_001; RELOC_004; RELOC_001; PLUS1_001</t>
        </is>
      </c>
    </row>
    <row r="21">
      <c r="A21" s="2" t="inlineStr">
        <is>
          <t>Q020</t>
        </is>
      </c>
      <c r="B21" s="2" t="n">
        <v>1</v>
      </c>
      <c r="C21" s="2" t="n">
        <v>3</v>
      </c>
      <c r="D21" s="2">
        <f>IFERROR(AVERAGEIF('Item Scoring'!$A$2:$A$151,$A21,'Item Scoring'!$I$2:$I$151),"")</f>
        <v/>
      </c>
      <c r="E21" s="3">
        <f>IFERROR(AVERAGEIF('Item Scoring'!$A$2:$A$151,$A21,'Item Scoring'!$J$2:$J$151),"")</f>
        <v/>
      </c>
      <c r="F21" s="3" t="n">
        <v>2</v>
      </c>
      <c r="G21" s="3" t="inlineStr">
        <is>
          <t>依赖数据 + 执法证据 + 企业案例齐全</t>
        </is>
      </c>
      <c r="H21" s="2" t="inlineStr">
        <is>
          <t>Supply Chain Risk</t>
        </is>
      </c>
      <c r="I21" s="2" t="inlineStr">
        <is>
          <t>supplier_dependency</t>
        </is>
      </c>
      <c r="J21" s="2" t="inlineStr">
        <is>
          <t>如果公司计划把关键产能集中在泰国或马来西亚，现有证据如何支持对地理集中、非法转运审查和中间品依赖进行联合评估？</t>
        </is>
      </c>
      <c r="K21" s="2" t="inlineStr">
        <is>
          <t>CASE_010; CSIS_001; TRD_001; TRD_003; WH_002</t>
        </is>
      </c>
      <c r="L21" s="2" t="inlineStr">
        <is>
          <t>TRD_003; WH_002; CASE_010; RETURN_001; WH_001</t>
        </is>
      </c>
    </row>
    <row r="22">
      <c r="A22" s="2" t="inlineStr">
        <is>
          <t>Q021</t>
        </is>
      </c>
      <c r="B22" s="2" t="n">
        <v>1</v>
      </c>
      <c r="C22" s="2" t="n">
        <v>5</v>
      </c>
      <c r="D22" s="2">
        <f>IFERROR(AVERAGEIF('Item Scoring'!$A$2:$A$151,$A22,'Item Scoring'!$I$2:$I$151),"")</f>
        <v/>
      </c>
      <c r="E22" s="3">
        <f>IFERROR(AVERAGEIF('Item Scoring'!$A$2:$A$151,$A22,'Item Scoring'!$J$2:$J$151),"")</f>
        <v/>
      </c>
      <c r="F22" s="3" t="n">
        <v>2</v>
      </c>
      <c r="G22" s="3" t="inlineStr">
        <is>
          <t>执法证据齐全，足以否定“仅凭申报原产地”</t>
        </is>
      </c>
      <c r="H22" s="2" t="inlineStr">
        <is>
          <t>Market Access</t>
        </is>
      </c>
      <c r="I22" s="2" t="inlineStr">
        <is>
          <t>market_access</t>
        </is>
      </c>
      <c r="J22" s="2" t="inlineStr">
        <is>
          <t>我们在越南生产后出口美国，能否仅凭申报的越南原产地降低美国市场准入风险？现有证据对真实组件来源和原产地举证提出了什么警示？</t>
        </is>
      </c>
      <c r="K22" s="2" t="inlineStr">
        <is>
          <t>CASE_002; CASE_010; CSIS_001; WH_001; WH_002</t>
        </is>
      </c>
      <c r="L22" s="2" t="inlineStr">
        <is>
          <t>CASE_010; CSIS_001; WH_002; WH_001; CASE_002</t>
        </is>
      </c>
    </row>
    <row r="23">
      <c r="A23" s="2" t="inlineStr">
        <is>
          <t>Q022</t>
        </is>
      </c>
      <c r="B23" s="2" t="n">
        <v>1</v>
      </c>
      <c r="C23" s="2" t="n">
        <v>3</v>
      </c>
      <c r="D23" s="2">
        <f>IFERROR(AVERAGEIF('Item Scoring'!$A$2:$A$151,$A23,'Item Scoring'!$I$2:$I$151),"")</f>
        <v/>
      </c>
      <c r="E23" s="3">
        <f>IFERROR(AVERAGEIF('Item Scoring'!$A$2:$A$151,$A23,'Item Scoring'!$J$2:$J$151),"")</f>
        <v/>
      </c>
      <c r="F23" s="3" t="n">
        <v>1</v>
      </c>
      <c r="G23" s="3" t="inlineStr">
        <is>
          <t>缺受限方筛查数据源（ITA_001未命中）</t>
        </is>
      </c>
      <c r="H23" s="2" t="inlineStr">
        <is>
          <t>Market Access</t>
        </is>
      </c>
      <c r="I23" s="2" t="inlineStr">
        <is>
          <t>export_control</t>
        </is>
      </c>
      <c r="J23" s="2" t="inlineStr">
        <is>
          <t>一家电池材料企业担心客户或客户关联方被美国限制清单覆盖。哪些证据最适合评估这类市场准入风险？</t>
        </is>
      </c>
      <c r="K23" s="2" t="inlineStr">
        <is>
          <t>BIS_001; BIS_002; CASE_009; ITA_001</t>
        </is>
      </c>
      <c r="L23" s="2" t="inlineStr">
        <is>
          <t>BIS_001; BIS_002; CASE_009; RETURN_001; RELOC_006</t>
        </is>
      </c>
    </row>
    <row r="24">
      <c r="A24" s="2" t="inlineStr">
        <is>
          <t>Q023</t>
        </is>
      </c>
      <c r="B24" s="2" t="n">
        <v>1</v>
      </c>
      <c r="C24" s="2" t="n">
        <v>5</v>
      </c>
      <c r="D24" s="2">
        <f>IFERROR(AVERAGEIF('Item Scoring'!$A$2:$A$151,$A24,'Item Scoring'!$I$2:$I$151),"")</f>
        <v/>
      </c>
      <c r="E24" s="3">
        <f>IFERROR(AVERAGEIF('Item Scoring'!$A$2:$A$151,$A24,'Item Scoring'!$J$2:$J$151),"")</f>
        <v/>
      </c>
      <c r="F24" s="3" t="n">
        <v>2</v>
      </c>
      <c r="G24" s="3" t="inlineStr">
        <is>
          <t>官方终裁 + 双向判例齐全</t>
        </is>
      </c>
      <c r="H24" s="2" t="inlineStr">
        <is>
          <t>Market Access</t>
        </is>
      </c>
      <c r="I24" s="2" t="inlineStr">
        <is>
          <t>market_access</t>
        </is>
      </c>
      <c r="J24" s="2" t="inlineStr">
        <is>
          <t>我们考虑在泰国或越南建立面向美国市场的生产基地。光伏反规避案例对‘海外生产即可获得美国市场准入’这一判断有什么借鉴？</t>
        </is>
      </c>
      <c r="K24" s="2" t="inlineStr">
        <is>
          <t>CASE_002; CASE_003; CASE_010; DOC_001; WH_002</t>
        </is>
      </c>
      <c r="L24" s="2" t="inlineStr">
        <is>
          <t>DOC_001; CASE_002; CASE_003; WH_002; CASE_010</t>
        </is>
      </c>
    </row>
    <row r="25">
      <c r="A25" s="2" t="inlineStr">
        <is>
          <t>Q024</t>
        </is>
      </c>
      <c r="B25" s="2" t="n">
        <v>1</v>
      </c>
      <c r="C25" s="2" t="n">
        <v>3</v>
      </c>
      <c r="D25" s="2">
        <f>IFERROR(AVERAGEIF('Item Scoring'!$A$2:$A$151,$A25,'Item Scoring'!$I$2:$I$151),"")</f>
        <v/>
      </c>
      <c r="E25" s="3">
        <f>IFERROR(AVERAGEIF('Item Scoring'!$A$2:$A$151,$A25,'Item Scoring'!$J$2:$J$151),"")</f>
        <v/>
      </c>
      <c r="F25" s="3" t="n">
        <v>2</v>
      </c>
      <c r="G25" s="3" t="inlineStr">
        <is>
          <t>机会侧与风险侧证据齐全</t>
        </is>
      </c>
      <c r="H25" s="2" t="inlineStr">
        <is>
          <t>Market Access</t>
        </is>
      </c>
      <c r="I25" s="2" t="inlineStr">
        <is>
          <t>market_access</t>
        </is>
      </c>
      <c r="J25" s="2" t="inlineStr">
        <is>
          <t>董事会想比较东南亚布局带来的市场准入机会与美国强化转运执法带来的风险。现有证据库中哪些政策和企业案例应一起看？</t>
        </is>
      </c>
      <c r="K25" s="2" t="inlineStr">
        <is>
          <t>CASE_007; CASE_008; CASE_010; CSIS_001; WH_001; WH_002; RELOC_004; RELOC_006</t>
        </is>
      </c>
      <c r="L25" s="2" t="inlineStr">
        <is>
          <t>CASE_010; WH_002; WH_001; RELOC_005; RELOC_002</t>
        </is>
      </c>
    </row>
    <row r="26">
      <c r="A26" s="2" t="inlineStr">
        <is>
          <t>Q025</t>
        </is>
      </c>
      <c r="B26" s="2" t="n">
        <v>1</v>
      </c>
      <c r="C26" s="2" t="n">
        <v>5</v>
      </c>
      <c r="D26" s="2">
        <f>IFERROR(AVERAGEIF('Item Scoring'!$A$2:$A$151,$A26,'Item Scoring'!$I$2:$I$151),"")</f>
        <v/>
      </c>
      <c r="E26" s="3">
        <f>IFERROR(AVERAGEIF('Item Scoring'!$A$2:$A$151,$A26,'Item Scoring'!$J$2:$J$151),"")</f>
        <v/>
      </c>
      <c r="F26" s="3" t="n">
        <v>2</v>
      </c>
      <c r="G26" s="3" t="inlineStr">
        <is>
          <t>宏观证据齐全</t>
        </is>
      </c>
      <c r="H26" s="2" t="inlineStr">
        <is>
          <t>Market Access</t>
        </is>
      </c>
      <c r="I26" s="2" t="inlineStr">
        <is>
          <t>trade_policy</t>
        </is>
      </c>
      <c r="J26" s="2" t="inlineStr">
        <is>
          <t>如果全球贸易增速放缓、跨境投资更加偏向战略行业，公司进入海外市场时应如何理解外部需求与投资环境？哪些宏观证据最相关？</t>
        </is>
      </c>
      <c r="K26" s="2" t="inlineStr">
        <is>
          <t>IMF_001; MCK_001; UNCTAD_001; WEF_001; WTO_001</t>
        </is>
      </c>
      <c r="L26" s="2" t="inlineStr">
        <is>
          <t>UNCTAD_001; WTO_001; IMF_001; WEF_001; MCK_001</t>
        </is>
      </c>
    </row>
    <row r="27">
      <c r="A27" s="2" t="inlineStr">
        <is>
          <t>Q026</t>
        </is>
      </c>
      <c r="B27" s="2" t="n">
        <v>1</v>
      </c>
      <c r="C27" s="2" t="n">
        <v>4</v>
      </c>
      <c r="D27" s="2">
        <f>IFERROR(AVERAGEIF('Item Scoring'!$A$2:$A$151,$A27,'Item Scoring'!$I$2:$I$151),"")</f>
        <v/>
      </c>
      <c r="E27" s="3">
        <f>IFERROR(AVERAGEIF('Item Scoring'!$A$2:$A$151,$A27,'Item Scoring'!$J$2:$J$151),"")</f>
        <v/>
      </c>
      <c r="F27" s="3" t="n">
        <v>2</v>
      </c>
      <c r="G27" s="3" t="inlineStr">
        <is>
          <t>两种情景均有直接依据</t>
        </is>
      </c>
      <c r="H27" s="2" t="inlineStr">
        <is>
          <t>Scenario Simulation Support</t>
        </is>
      </c>
      <c r="I27" s="2" t="inlineStr">
        <is>
          <t>export_control</t>
        </is>
      </c>
      <c r="J27" s="2" t="inlineStr">
        <is>
          <t>情景A：BIS 50%关联企业规则按计划恢复；情景B：暂停继续延长。对于依赖美国客户的制造企业，两种情景下应重点比较哪些合规和客户准入影响？</t>
        </is>
      </c>
      <c r="K27" s="2" t="inlineStr">
        <is>
          <t>BIS_001; BIS_002; CASE_009; FR_001; ITA_001</t>
        </is>
      </c>
      <c r="L27" s="2" t="inlineStr">
        <is>
          <t>BIS_002; BIS_001; CASE_009; FR_001; CASE_001</t>
        </is>
      </c>
    </row>
    <row r="28">
      <c r="A28" s="2" t="inlineStr">
        <is>
          <t>Q027</t>
        </is>
      </c>
      <c r="B28" s="2" t="n">
        <v>1</v>
      </c>
      <c r="C28" s="2" t="n">
        <v>4</v>
      </c>
      <c r="D28" s="2">
        <f>IFERROR(AVERAGEIF('Item Scoring'!$A$2:$A$151,$A28,'Item Scoring'!$I$2:$I$151),"")</f>
        <v/>
      </c>
      <c r="E28" s="3">
        <f>IFERROR(AVERAGEIF('Item Scoring'!$A$2:$A$151,$A28,'Item Scoring'!$J$2:$J$151),"")</f>
        <v/>
      </c>
      <c r="F28" s="3" t="n">
        <v>2</v>
      </c>
      <c r="G28" s="3" t="inlineStr">
        <is>
          <t>反规避与转运证据齐全</t>
        </is>
      </c>
      <c r="H28" s="2" t="inlineStr">
        <is>
          <t>Scenario Simulation Support</t>
        </is>
      </c>
      <c r="I28" s="2" t="inlineStr">
        <is>
          <t>trade_policy</t>
        </is>
      </c>
      <c r="J28" s="2" t="inlineStr">
        <is>
          <t>情景A：公司继续从中国直接出口美国；情景B：将部分工序迁至东南亚。基于现有反规避和转运证据，哪种方案的贸易风险更低，评估时必须检查哪些条件？</t>
        </is>
      </c>
      <c r="K28" s="2" t="inlineStr">
        <is>
          <t>DOC_001; CASE_002; CASE_003; WH_002; CSIS_001</t>
        </is>
      </c>
      <c r="L28" s="2" t="inlineStr">
        <is>
          <t>DOC_001; CASE_002; CASE_003; CASE_010; WH_002</t>
        </is>
      </c>
    </row>
    <row r="29">
      <c r="A29" s="2" t="inlineStr">
        <is>
          <t>Q028</t>
        </is>
      </c>
      <c r="B29" s="2" t="n">
        <v>1</v>
      </c>
      <c r="C29" s="2" t="n">
        <v>3</v>
      </c>
      <c r="D29" s="2">
        <f>IFERROR(AVERAGEIF('Item Scoring'!$A$2:$A$151,$A29,'Item Scoring'!$I$2:$I$151),"")</f>
        <v/>
      </c>
      <c r="E29" s="3">
        <f>IFERROR(AVERAGEIF('Item Scoring'!$A$2:$A$151,$A29,'Item Scoring'!$J$2:$J$151),"")</f>
        <v/>
      </c>
      <c r="F29" s="3" t="n">
        <v>2</v>
      </c>
      <c r="G29" s="3" t="inlineStr">
        <is>
          <t>依赖数据与判定规则齐全</t>
        </is>
      </c>
      <c r="H29" s="2" t="inlineStr">
        <is>
          <t>Scenario Simulation Support</t>
        </is>
      </c>
      <c r="I29" s="2" t="inlineStr">
        <is>
          <t>supplier_dependency</t>
        </is>
      </c>
      <c r="J29" s="2" t="inlineStr">
        <is>
          <t>情景A：东南亚工厂继续大量采购中国中间品；情景B：提高当地供应商比例。现有证据如何支持比较两种方案的供应链依赖与原产地风险？</t>
        </is>
      </c>
      <c r="K29" s="2" t="inlineStr">
        <is>
          <t>CASE_002; CASE_003; CASE_010; CSIS_001; TRD_003; WH_002</t>
        </is>
      </c>
      <c r="L29" s="2" t="inlineStr">
        <is>
          <t>TRD_003; WH_002; DOC_001; CASE_002; RETURN_001</t>
        </is>
      </c>
    </row>
    <row r="30">
      <c r="A30" s="2" t="inlineStr">
        <is>
          <t>Q029</t>
        </is>
      </c>
      <c r="B30" s="2" t="n">
        <v>1</v>
      </c>
      <c r="C30" s="2" t="n">
        <v>3</v>
      </c>
      <c r="D30" s="2">
        <f>IFERROR(AVERAGEIF('Item Scoring'!$A$2:$A$151,$A30,'Item Scoring'!$I$2:$I$151),"")</f>
        <v/>
      </c>
      <c r="E30" s="3">
        <f>IFERROR(AVERAGEIF('Item Scoring'!$A$2:$A$151,$A30,'Item Scoring'!$J$2:$J$151),"")</f>
        <v/>
      </c>
      <c r="F30" s="3" t="n">
        <v>2</v>
      </c>
      <c r="G30" s="3" t="inlineStr">
        <is>
          <t>投资政策与全球趋势齐全，企业调查证据缺失但可接受</t>
        </is>
      </c>
      <c r="H30" s="2" t="inlineStr">
        <is>
          <t>Scenario Simulation Support</t>
        </is>
      </c>
      <c r="I30" s="2" t="inlineStr">
        <is>
          <t>investment_policy</t>
        </is>
      </c>
      <c r="J30" s="2" t="inlineStr">
        <is>
          <t>情景A：立即启动海外建厂；情景B：延后投资等待贸易政策更清晰。管理层应参考哪些投资政策、全球投资趋势和企业供应链调查证据？</t>
        </is>
      </c>
      <c r="K30" s="2" t="inlineStr">
        <is>
          <t>CNGOV_001; UNCTAD_001; IMF_001; KPMG_001; MCK_001</t>
        </is>
      </c>
      <c r="L30" s="2" t="inlineStr">
        <is>
          <t>IMF_001; WTO_001; UNCTAD_001; CNGOV_001; RETURN_001</t>
        </is>
      </c>
    </row>
    <row r="31">
      <c r="A31" s="2" t="inlineStr">
        <is>
          <t>Q030</t>
        </is>
      </c>
      <c r="B31" s="2" t="n">
        <v>1</v>
      </c>
      <c r="C31" s="2" t="n">
        <v>3</v>
      </c>
      <c r="D31" s="2">
        <f>IFERROR(AVERAGEIF('Item Scoring'!$A$2:$A$151,$A31,'Item Scoring'!$I$2:$I$151),"")</f>
        <v/>
      </c>
      <c r="E31" s="3">
        <f>IFERROR(AVERAGEIF('Item Scoring'!$A$2:$A$151,$A31,'Item Scoring'!$J$2:$J$151),"")</f>
        <v/>
      </c>
      <c r="F31" s="3" t="n">
        <v>1</v>
      </c>
      <c r="G31" s="3" t="inlineStr">
        <is>
          <t>案例与执法证据齐全，但缺贸易数据侧（TRD_001未命中）</t>
        </is>
      </c>
      <c r="H31" s="2" t="inlineStr">
        <is>
          <t>Scenario Simulation Support</t>
        </is>
      </c>
      <c r="I31" s="2" t="inlineStr">
        <is>
          <t>supply_chain</t>
        </is>
      </c>
      <c r="J31" s="2" t="inlineStr">
        <is>
          <t>情景A：把泰国作为单一海外生产中心；情景B：在泰国和马来西亚分散布局。基于现有企业案例、美国转运执法和贸易数据，应该如何比较两种方案的集中度与市场准入风险？</t>
        </is>
      </c>
      <c r="K31" s="2" t="inlineStr">
        <is>
          <t>CASE_004; CASE_005; CASE_006; CASE_007; WH_002; CASE_010; TRD_001; RELOC_001; RELOC_004; RELOC_006</t>
        </is>
      </c>
      <c r="L31" s="2" t="inlineStr">
        <is>
          <t>CASE_010; WH_002; RETURN_001; RELOC_006; WH_001</t>
        </is>
      </c>
    </row>
  </sheetData>
  <dataValidations count="1">
    <dataValidation sqref="F2:F31"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46" customWidth="1" min="1" max="1"/>
    <col width="14" customWidth="1" min="2" max="2"/>
    <col width="16" customWidth="1" min="3" max="3"/>
    <col width="12" customWidth="1" min="4" max="4"/>
  </cols>
  <sheetData>
    <row r="1">
      <c r="A1" s="5" t="inlineStr">
        <is>
          <t>Task 2 — Human Evaluation Summary</t>
        </is>
      </c>
      <c r="B1" s="6" t="inlineStr">
        <is>
          <t>Value</t>
        </is>
      </c>
      <c r="C1" s="6" t="inlineStr">
        <is>
          <t>Target</t>
        </is>
      </c>
      <c r="D1" s="6" t="inlineStr">
        <is>
          <t>Status</t>
        </is>
      </c>
    </row>
    <row r="2">
      <c r="A2" t="inlineStr">
        <is>
          <t>Questions</t>
        </is>
      </c>
      <c r="B2" t="n">
        <v>30</v>
      </c>
      <c r="C2" t="inlineStr">
        <is>
          <t>30 questions</t>
        </is>
      </c>
    </row>
    <row r="3"/>
    <row r="4">
      <c r="A4" t="inlineStr">
        <is>
          <t>Primary metrics (auto-calculated from Question Scoring)</t>
        </is>
      </c>
    </row>
    <row r="5">
      <c r="A5" t="inlineStr">
        <is>
          <t>Avg Relevance (Top-5, 0-2)</t>
        </is>
      </c>
      <c r="B5" s="7">
        <f>AVERAGE('Question Scoring'!$D$2:$D$31)</f>
        <v/>
      </c>
      <c r="C5" t="inlineStr">
        <is>
          <t>&gt;= 1.5</t>
        </is>
      </c>
      <c r="D5">
        <f>IF(B5="","",IF(B5&gt;=1.5,"PASS","FAIL"))</f>
        <v/>
      </c>
    </row>
    <row r="6">
      <c r="A6" t="inlineStr">
        <is>
          <t>Avg Authority (Top-5, 0-2)</t>
        </is>
      </c>
      <c r="B6" s="7">
        <f>AVERAGE('Question Scoring'!$E$2:$E$31)</f>
        <v/>
      </c>
      <c r="C6" t="inlineStr">
        <is>
          <t>&gt;= 1.5</t>
        </is>
      </c>
      <c r="D6">
        <f>IF(B6="","",IF(B6&gt;=1.5,"PASS","FAIL"))</f>
        <v/>
      </c>
    </row>
    <row r="7">
      <c r="A7" t="inlineStr">
        <is>
          <t>Hit@5 rate (&gt;=1 correct evidence in Top-5)</t>
        </is>
      </c>
      <c r="B7" s="8">
        <f>AVERAGE('Question Scoring'!$B$2:$B$31)</f>
        <v/>
      </c>
      <c r="C7" t="inlineStr">
        <is>
          <t>&gt;= 80%</t>
        </is>
      </c>
      <c r="D7">
        <f>IF(B7="","",IF(B7&gt;=0.8,"PASS","FAIL"))</f>
        <v/>
      </c>
    </row>
    <row r="8">
      <c r="A8" t="inlineStr">
        <is>
          <t>Avg Coverage (0-2)</t>
        </is>
      </c>
      <c r="B8" s="7">
        <f>IFERROR(AVERAGE('Question Scoring'!$F$2:$F$31),"")</f>
        <v/>
      </c>
      <c r="C8" t="inlineStr">
        <is>
          <t>report</t>
        </is>
      </c>
      <c r="D8" t="inlineStr">
        <is>
          <t>report only</t>
        </is>
      </c>
    </row>
    <row r="9"/>
    <row r="10">
      <c r="A10" t="inlineStr">
        <is>
          <t>Note</t>
        </is>
      </c>
      <c r="B10" t="inlineStr">
        <is>
          <t>Fill the yellow cells first — Summary updates automatically.</t>
        </is>
      </c>
    </row>
    <row r="12">
      <c r="A12" s="10" t="inlineStr">
        <is>
          <t>Scoring pass</t>
        </is>
      </c>
      <c r="B12" t="inlineStr">
        <is>
          <t>AI-assisted pre-scoring (content-based). Review flagged rows before finalising.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2" customWidth="1" min="1" max="1"/>
    <col width="8" customWidth="1" min="2" max="2"/>
    <col width="110" customWidth="1" min="3" max="3"/>
  </cols>
  <sheetData>
    <row r="1">
      <c r="A1" s="6" t="inlineStr">
        <is>
          <t>Dimension</t>
        </is>
      </c>
      <c r="B1" s="6" t="inlineStr">
        <is>
          <t>Score</t>
        </is>
      </c>
      <c r="C1" s="6" t="inlineStr">
        <is>
          <t>Definition</t>
        </is>
      </c>
    </row>
    <row r="2">
      <c r="A2" s="9" t="inlineStr">
        <is>
          <t>Relevance</t>
        </is>
      </c>
      <c r="B2" s="9" t="n">
        <v>2</v>
      </c>
      <c r="C2" s="9" t="inlineStr">
        <is>
          <t>Retrieved evidence directly answers / directly supports the question. (Usually: it is in Expected Evidence IDs.)</t>
        </is>
      </c>
    </row>
    <row r="3">
      <c r="A3" s="9" t="inlineStr">
        <is>
          <t>Relevance</t>
        </is>
      </c>
      <c r="B3" s="9" t="n">
        <v>1</v>
      </c>
      <c r="C3" s="9" t="inlineStr">
        <is>
          <t>Partially relevant — same topic bucket, usable as supporting context but not a direct answer.</t>
        </is>
      </c>
    </row>
    <row r="4">
      <c r="A4" s="9" t="inlineStr">
        <is>
          <t>Relevance</t>
        </is>
      </c>
      <c r="B4" s="9" t="n">
        <v>0</v>
      </c>
      <c r="C4" s="9" t="inlineStr">
        <is>
          <t>Irrelevant to the question.</t>
        </is>
      </c>
    </row>
    <row r="5">
      <c r="A5" s="9" t="inlineStr">
        <is>
          <t>Authority</t>
        </is>
      </c>
      <c r="B5" s="9" t="n">
        <v>2</v>
      </c>
      <c r="C5" s="9" t="inlineStr">
        <is>
          <t>S / A+ / A source — government regulation, official company filing, WTO/UN/World Bank, IMF, CSIS, McKinsey, industry association.</t>
        </is>
      </c>
    </row>
    <row r="6">
      <c r="A6" s="9" t="inlineStr">
        <is>
          <t>Authority</t>
        </is>
      </c>
      <c r="B6" s="9" t="n">
        <v>1</v>
      </c>
      <c r="C6" s="9" t="inlineStr">
        <is>
          <t>B+ source — consulting reports, market research, brokerage / media summaries.</t>
        </is>
      </c>
    </row>
    <row r="7">
      <c r="A7" s="9" t="inlineStr">
        <is>
          <t>Authority</t>
        </is>
      </c>
      <c r="B7" s="9" t="n">
        <v>0</v>
      </c>
      <c r="C7" s="9" t="inlineStr">
        <is>
          <t>Low-quality or unverifiable source.</t>
        </is>
      </c>
    </row>
    <row r="8">
      <c r="A8" s="9" t="inlineStr">
        <is>
          <t>Coverage</t>
        </is>
      </c>
      <c r="B8" s="9" t="n">
        <v>2</v>
      </c>
      <c r="C8" s="9" t="inlineStr">
        <is>
          <t>Retrieval found enough evidence to answer the question end-to-end.</t>
        </is>
      </c>
    </row>
    <row r="9">
      <c r="A9" s="9" t="inlineStr">
        <is>
          <t>Coverage</t>
        </is>
      </c>
      <c r="B9" s="9" t="n">
        <v>1</v>
      </c>
      <c r="C9" s="9" t="inlineStr">
        <is>
          <t>Partial — some but not all facets covered.</t>
        </is>
      </c>
    </row>
    <row r="10">
      <c r="A10" s="9" t="inlineStr">
        <is>
          <t>Coverage</t>
        </is>
      </c>
      <c r="B10" s="9" t="n">
        <v>0</v>
      </c>
      <c r="C10" s="9" t="inlineStr">
        <is>
          <t>No usable supporting evidence retrieved.</t>
        </is>
      </c>
    </row>
    <row r="11">
      <c r="A11" s="9" t="inlineStr"/>
      <c r="B11" s="9" t="n"/>
      <c r="C11" s="9" t="inlineStr"/>
    </row>
    <row r="12">
      <c r="A12" s="9" t="inlineStr">
        <is>
          <t>How to score</t>
        </is>
      </c>
      <c r="B12" s="9" t="n"/>
      <c r="C12" s="9" t="inlineStr">
        <is>
          <t>Score every retrieved item in 'Item Scoring' (yellow cells). Then give one Coverage score and Notes per question in 'Question Scoring'.</t>
        </is>
      </c>
    </row>
    <row r="13">
      <c r="A13" s="9" t="inlineStr">
        <is>
          <t>Auto columns</t>
        </is>
      </c>
      <c r="B13" s="9" t="n"/>
      <c r="C13" s="9" t="inlineStr">
        <is>
          <t>Auto Relevance = 2 if the item is in Expected Evidence IDs, 1 if its topic is in the question's topic bucket, else 0. Auto Authority = 2 for S/A+/A, 1 for B+/B.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2026-10-14T02:16:38Z</dcterms:created>
  <dcterms:modified xsi:type="dcterms:W3CDTF">2026-10-14T02:16:38Z</dcterms:modified>
</cp:coreProperties>
</file>