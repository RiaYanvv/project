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tabRatio="500"/>
  </bookViews>
  <sheets>
    <sheet name="sources" sheetId="1" r:id="rId1"/>
    <sheet name="说明" sheetId="2" r:id="rId2"/>
    <sheet name="schema" sheetId="3" r:id="rId3"/>
    <sheet name="screening_rules" sheetId="4" r:id="rId4"/>
  </sheets>
  <definedNames>
    <definedName name="_xlnm._FilterDatabase" localSheetId="0" hidden="1">sources!$A$1:$M$31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<sst xmlns="http://schemas.openxmlformats.org/spreadsheetml/2006/main" count="713" uniqueCount="346">
  <si>
    <t>evidence_id</t>
  </si>
  <si>
    <t>source_title</t>
  </si>
  <si>
    <t>source_type</t>
  </si>
  <si>
    <t>publisher</t>
  </si>
  <si>
    <t>country_code</t>
  </si>
  <si>
    <t>jurisdiction</t>
  </si>
  <si>
    <t>publication_date</t>
  </si>
  <si>
    <t>effective_date</t>
  </si>
  <si>
    <t>status</t>
  </si>
  <si>
    <t>source_url</t>
  </si>
  <si>
    <t>authority_level</t>
  </si>
  <si>
    <t>topic</t>
  </si>
  <si>
    <t>applicability_scope</t>
  </si>
  <si>
    <t>related_industries</t>
  </si>
  <si>
    <t>verification_status</t>
  </si>
  <si>
    <t>retrieved_at</t>
  </si>
  <si>
    <t>document_path</t>
  </si>
  <si>
    <t>claim</t>
  </si>
  <si>
    <t>key_finding</t>
  </si>
  <si>
    <t>content_summary</t>
  </si>
  <si>
    <t>applicability_notes</t>
  </si>
  <si>
    <t>uncertainty</t>
  </si>
  <si>
    <t>ev_battery_relevance</t>
  </si>
  <si>
    <t>screening_action</t>
  </si>
  <si>
    <t>screening_note</t>
  </si>
  <si>
    <t>BIS_001</t>
  </si>
  <si>
    <t>Expansion of End-User Controls to Cover Affiliates of Certain Listed Entities（关联企业规则 / 50%穿透规则，临时最终规则）</t>
  </si>
  <si>
    <t>法规政策</t>
  </si>
  <si>
    <t>美国商务部工业与安全局（BIS）</t>
  </si>
  <si>
    <t>US</t>
  </si>
  <si>
    <t>Federal</t>
  </si>
  <si>
    <t>2025-09-30</t>
  </si>
  <si>
    <t>CURRENT</t>
  </si>
  <si>
    <t>https://www.federalregister.gov/documents/2025/09/30/2025-19001/expansion-of-end-user-controls-to-cover-affiliates-of-certain-listed-entities</t>
  </si>
  <si>
    <t>S</t>
  </si>
  <si>
    <t>出口管制</t>
  </si>
  <si>
    <t>GENERAL</t>
  </si>
  <si>
    <t>通用</t>
  </si>
  <si>
    <t>已核实</t>
  </si>
  <si>
    <t>data/raw/policy/BIS_001.pdf</t>
  </si>
  <si>
    <t>90 FR 47201。被实体清单/MEU清单主体直接或间接、单独或合计持股≥50%的实体自动适用同等限制。</t>
  </si>
  <si>
    <t>HIGH</t>
  </si>
  <si>
    <t>KEEP</t>
  </si>
  <si>
    <t>与EV/battery供应链、关键材料、出口管制或相关工业政策高度相关</t>
  </si>
  <si>
    <t>BIS_002</t>
  </si>
  <si>
    <t>One Year Suspension of Expansion of End-User Controls for Affiliates of Certain Listed Entities（关联企业规则暂停一年）</t>
  </si>
  <si>
    <t>2025-11-12</t>
  </si>
  <si>
    <t>https://www.federalregister.gov/documents/2025/11/12/2025-19846/one-year-suspension-of-expansion-of-end-user-controls-for-affiliates-of-certain-listed-entities</t>
  </si>
  <si>
    <t>data/raw/policy/BIS_002.pdf</t>
  </si>
  <si>
    <t>暂停期2025-11-10至2026-11-09；与BIS_001配套使用，构成时间线。</t>
  </si>
  <si>
    <t>CNGOV_001</t>
  </si>
  <si>
    <t>国务院关于对外投资的规定（国务院令第837号）</t>
  </si>
  <si>
    <t>中华人民共和国国务院</t>
  </si>
  <si>
    <t>CN</t>
  </si>
  <si>
    <t>National</t>
  </si>
  <si>
    <t>2026-06-01</t>
  </si>
  <si>
    <t>https://www.gov.cn/gongbao/2026/issue_12786/202606/content_7071618.html</t>
  </si>
  <si>
    <t>对外投资</t>
  </si>
  <si>
    <t>data/raw/policy/CNGOV_001.pdf</t>
  </si>
  <si>
    <t>2026-04-17国务院常务会议通过，2026-05-05签署，2026-06-01公布，2026-07-01施行，共34条。海外建厂、扩产适用。</t>
  </si>
  <si>
    <t>MEDIUM</t>
  </si>
  <si>
    <t>REVIEW</t>
  </si>
  <si>
    <t>可能影响产业环境，但需人工确认与EV/battery关联程度</t>
  </si>
  <si>
    <t>MOFCOM_001</t>
  </si>
  <si>
    <t>2026年度《两用物项和技术进出口许可证管理目录》</t>
  </si>
  <si>
    <t>商务部、海关总署</t>
  </si>
  <si>
    <t>2025-12-31</t>
  </si>
  <si>
    <t>https://www.mofcom.gov.cn/zwgk/zcfb/art/2025/art_c03d1e511b2b486e829d68e8f1422aff.html</t>
  </si>
  <si>
    <t>◆随产业</t>
  </si>
  <si>
    <t>data/raw/policy/MOFCOM_001.pdf</t>
  </si>
  <si>
    <t>2026-01-01起实施，同时废止2024年第67号公告。用于判断产品是否属于中国侧两用物项。</t>
  </si>
  <si>
    <t>MOFCOM_002</t>
  </si>
  <si>
    <r>
      <t>商务部公告</t>
    </r>
    <r>
      <rPr>
        <sz val="11"/>
        <color theme="1"/>
        <rFont val="Calibri"/>
        <charset val="1"/>
      </rPr>
      <t>2025</t>
    </r>
    <r>
      <rPr>
        <sz val="11"/>
        <color theme="1"/>
        <rFont val="宋体-简"/>
        <charset val="1"/>
      </rPr>
      <t>年第</t>
    </r>
    <r>
      <rPr>
        <sz val="11"/>
        <color theme="1"/>
        <rFont val="Calibri"/>
        <charset val="1"/>
      </rPr>
      <t>72</t>
    </r>
    <r>
      <rPr>
        <sz val="11"/>
        <color theme="1"/>
        <rFont val="宋体-简"/>
        <charset val="1"/>
      </rPr>
      <t>号（暂停实施</t>
    </r>
    <r>
      <rPr>
        <sz val="11"/>
        <color theme="1"/>
        <rFont val="Calibri"/>
        <charset val="1"/>
      </rPr>
      <t>2024</t>
    </r>
    <r>
      <rPr>
        <sz val="11"/>
        <color theme="1"/>
        <rFont val="宋体-简"/>
        <charset val="1"/>
      </rPr>
      <t>年第</t>
    </r>
    <r>
      <rPr>
        <sz val="11"/>
        <color theme="1"/>
        <rFont val="Calibri"/>
        <charset val="1"/>
      </rPr>
      <t>46</t>
    </r>
    <r>
      <rPr>
        <sz val="11"/>
        <color theme="1"/>
        <rFont val="宋体-简"/>
        <charset val="1"/>
      </rPr>
      <t>号公告第二款，涉及对美两用物项出口管制）</t>
    </r>
  </si>
  <si>
    <t>商务部</t>
  </si>
  <si>
    <t>2025-11-09</t>
  </si>
  <si>
    <t>待补商务部原文链接</t>
  </si>
  <si>
    <t>待核实原文</t>
  </si>
  <si>
    <t>data/raw/policy/MOFCOM_002.html</t>
  </si>
  <si>
    <t>目前仅见第三方转述：暂停期至2026-11-27，涉及镓、锗、超硬材料、石墨等。入库前须以商务部原文为准。</t>
  </si>
  <si>
    <t>WH_001</t>
  </si>
  <si>
    <r>
      <t>Executive Order 14411: Strengthening Customs Enforcement</t>
    </r>
    <r>
      <rPr>
        <sz val="11"/>
        <color theme="1"/>
        <rFont val="宋体-简"/>
        <charset val="1"/>
      </rPr>
      <t>（加强海关执法行政令）</t>
    </r>
  </si>
  <si>
    <t>美国白宫</t>
  </si>
  <si>
    <t>2026-06-03</t>
  </si>
  <si>
    <t>待补白宫/Federal Register原文链接（已核实来源：https://www.morganlewis.com/pubs/2026/07/customs-crackdown-preparing-for-heightened-enforcement）</t>
  </si>
  <si>
    <t>原产地与转运</t>
  </si>
  <si>
    <t>已核实（经律所解读）</t>
  </si>
  <si>
    <t>data/raw/policy/WH_001.pdf</t>
  </si>
  <si>
    <t>收紧进口商资质、保证金、所有权披露和处罚；执法重点含非法转运。</t>
  </si>
  <si>
    <t>WH_002</t>
  </si>
  <si>
    <r>
      <t>The Great Transshipment Scam: Rise, Scope, and Costs</t>
    </r>
    <r>
      <rPr>
        <sz val="11"/>
        <color theme="1"/>
        <rFont val="宋体-简"/>
        <charset val="1"/>
      </rPr>
      <t>（白宫非法转运报告）</t>
    </r>
  </si>
  <si>
    <t>官方报告</t>
  </si>
  <si>
    <t>美国白宫贸易与制造业政策办公室</t>
  </si>
  <si>
    <t>2026-08-13</t>
  </si>
  <si>
    <r>
      <t>待补白宫原文链接（已核实来源：</t>
    </r>
    <r>
      <rPr>
        <sz val="11"/>
        <color theme="1"/>
        <rFont val="Calibri"/>
        <charset val="1"/>
      </rPr>
      <t>https://www.internationaltradeinsights.com/2026/08/white-house-previews-ai-powered-detective-border-tool-targeting-chinese-transshipment/</t>
    </r>
    <r>
      <rPr>
        <sz val="11"/>
        <color theme="1"/>
        <rFont val="宋体-简"/>
        <charset val="1"/>
      </rPr>
      <t>）</t>
    </r>
  </si>
  <si>
    <t>data/raw/policy/WH_002.pdf</t>
  </si>
  <si>
    <t>点名40余个高风险转运国家（含越南、马来西亚、泰国、印尼）；宣布AI执法工具Detective Border。属政策立场报告，不是法规。</t>
  </si>
  <si>
    <t>DOC_001</t>
  </si>
  <si>
    <r>
      <t>Final Circumvention Determinations: Crystalline Silicon Photovoltaic Cells from Cambodia, Malaysia, Thailand and Vietnam</t>
    </r>
    <r>
      <rPr>
        <sz val="11"/>
        <color theme="1"/>
        <rFont val="宋体-简"/>
        <charset val="1"/>
      </rPr>
      <t>（东南亚四国光伏反规避终裁）</t>
    </r>
  </si>
  <si>
    <t>美国商务部</t>
  </si>
  <si>
    <t>2023-08-23</t>
  </si>
  <si>
    <t>待补Federal Register原文链接（已核实来源：https://www.akingump.com/en/insights/alerts/commerce-reaches-final-affirmative-circumvention-findings-for-solar-products-from-cambodia-malaysia-thailand-and-vietnam）</t>
  </si>
  <si>
    <t>反规避</t>
  </si>
  <si>
    <t>光伏</t>
  </si>
  <si>
    <t>data/raw/policy/DOC_001.pdf</t>
  </si>
  <si>
    <t>2023-08-18宣布，2023-08-23刊登联邦公报。回溯验证的核心材料。</t>
  </si>
  <si>
    <t>WEF_001</t>
  </si>
  <si>
    <t>Global Risks Report 2026（全球风险报告2026，第21版）</t>
  </si>
  <si>
    <t>研究报告</t>
  </si>
  <si>
    <t>世界经济论坛（WEF）</t>
  </si>
  <si>
    <t>全球</t>
  </si>
  <si>
    <t>2026-01-14</t>
  </si>
  <si>
    <t>https://www.weforum.org/publications/global-risks-report-2026</t>
  </si>
  <si>
    <t>A+</t>
  </si>
  <si>
    <t>宏观风险</t>
  </si>
  <si>
    <t>data/raw/report/WEF_001.pdf</t>
  </si>
  <si>
    <t>地缘经济对抗列为2026年首要风险。仅作PPT背景。</t>
  </si>
  <si>
    <t>UNCTAD_001</t>
  </si>
  <si>
    <t>World Investment Report 2026: International Investment in a Turbulent Era</t>
  </si>
  <si>
    <t>联合国贸易和发展会议（UNCTAD）</t>
  </si>
  <si>
    <t>2026-07-07</t>
  </si>
  <si>
    <t>https://unctad.org/publication/world-investment-report-2026</t>
  </si>
  <si>
    <t>data/raw/report/UNCTAD_001.pdf</t>
  </si>
  <si>
    <t>2025年全球FDI增长6%至约1.6万亿美元；战略行业占绿地投资比重显著上升。</t>
  </si>
  <si>
    <t>WTO_001</t>
  </si>
  <si>
    <r>
      <t>Global Trade Outlook and Statistics</t>
    </r>
    <r>
      <rPr>
        <sz val="11"/>
        <color theme="1"/>
        <rFont val="宋体-简"/>
        <charset val="1"/>
      </rPr>
      <t>（</t>
    </r>
    <r>
      <rPr>
        <sz val="11"/>
        <color theme="1"/>
        <rFont val="Calibri"/>
        <charset val="1"/>
      </rPr>
      <t>2026</t>
    </r>
    <r>
      <rPr>
        <sz val="11"/>
        <color theme="1"/>
        <rFont val="宋体-简"/>
        <charset val="1"/>
      </rPr>
      <t>年</t>
    </r>
    <r>
      <rPr>
        <sz val="11"/>
        <color theme="1"/>
        <rFont val="Calibri"/>
        <charset val="1"/>
      </rPr>
      <t>3</t>
    </r>
    <r>
      <rPr>
        <sz val="11"/>
        <color theme="1"/>
        <rFont val="宋体-简"/>
        <charset val="1"/>
      </rPr>
      <t>月版）</t>
    </r>
  </si>
  <si>
    <t>世界贸易组织（WTO）</t>
  </si>
  <si>
    <t>2026-03</t>
  </si>
  <si>
    <t>待补WTO官网链接（已核实内容来源：https://www.astrid-online.it/static/upload/wto-/wto-global-trade-outlook-2026.pdf）</t>
  </si>
  <si>
    <t>贸易流</t>
  </si>
  <si>
    <t>已核实（具体日待补）</t>
  </si>
  <si>
    <t>data/raw/report/WTO_001.pdf</t>
  </si>
  <si>
    <t>基准情景下2026年货物贸易量增速由2025年的4.6%放缓至1.9%。</t>
  </si>
  <si>
    <t>KPMG_001</t>
  </si>
  <si>
    <t>KPMG 2026 US Supply Chain Survey</t>
  </si>
  <si>
    <t>调查报告</t>
  </si>
  <si>
    <t>毕马威（KPMG）</t>
  </si>
  <si>
    <t>2026-05-01</t>
  </si>
  <si>
    <t>https://kpmg.com/us/en/articles/2026/2026-supply-chain-survey.html</t>
  </si>
  <si>
    <t>A</t>
  </si>
  <si>
    <t>供应链布局</t>
  </si>
  <si>
    <t>data/raw/report/KPMG_001.pdf</t>
  </si>
  <si>
    <t>样本为462位年营收10亿美元以上企业的供应链负责人。样本是美国大企业，不代表中国中小企业。</t>
  </si>
  <si>
    <t>MCK_001</t>
  </si>
  <si>
    <t>The art, science, and technology of geopolitical scenario planning</t>
  </si>
  <si>
    <t>麦肯锡（McKinsey）</t>
  </si>
  <si>
    <t>2026-06-10</t>
  </si>
  <si>
    <t>https://www.mckinsey.com/capabilities/geopolitics/our-insights/the-art-science-and-technology-of-geopolitical-scenario-planning</t>
  </si>
  <si>
    <t>已核实（日期为页面日期）</t>
  </si>
  <si>
    <t>data/raw/report/MCK_001.pdf</t>
  </si>
  <si>
    <t>基于2026年2月对202位高管的问卷。另一份文档转述的15%等数字须回原文核对。</t>
  </si>
  <si>
    <t>CSIS_001</t>
  </si>
  <si>
    <t>The Visibility Gap: How AI Can Stop Chinese Transshipment Under USMCA</t>
  </si>
  <si>
    <t>战略与国际研究中心（CSIS）</t>
  </si>
  <si>
    <t>2026-08</t>
  </si>
  <si>
    <t>https://www.csis.org/analysis/visibility-gap-how-ai-can-stop-chinese-transshipment-under-usmca</t>
  </si>
  <si>
    <t>data/raw/report/CSIS_001.pdf</t>
  </si>
  <si>
    <t>核心观点：申报原产地≠真实组件来源；与本项目原产地模块同题。</t>
  </si>
  <si>
    <t>IMF_001</t>
  </si>
  <si>
    <t>World Economic Outlook, April 2023, Chapter 4: Geoeconomic Fragmentation and Foreign Direct Investment</t>
  </si>
  <si>
    <t>国际货币基金组织（IMF）</t>
  </si>
  <si>
    <t>2023-04</t>
  </si>
  <si>
    <t>待补IMF官网链接</t>
  </si>
  <si>
    <t>待核实</t>
  </si>
  <si>
    <t>data/raw/report/IMF_001.pdf</t>
  </si>
  <si>
    <t>用于构建“政策→贸易投资规则→企业布局”的传导框架。信息来自已有知识，入库前需核对。</t>
  </si>
  <si>
    <t>CASE_001</t>
  </si>
  <si>
    <t>Dawang Metals：客户订单转移印度后回流，企业放弃海外建厂</t>
  </si>
  <si>
    <t>新闻报道</t>
  </si>
  <si>
    <t>路透社（Reuters）</t>
  </si>
  <si>
    <t>2026-09-14</t>
  </si>
  <si>
    <t>https://www.bnnbloomberg.ca/business/international/2026/09/14/companies-left-china-to-dodge-tariffs-now-some-are-heading-back/</t>
  </si>
  <si>
    <t>B+</t>
  </si>
  <si>
    <t>金属铸造</t>
  </si>
  <si>
    <t>已核实（转载链接）</t>
  </si>
  <si>
    <t>data/raw/case/CASE_001.pdf</t>
  </si>
  <si>
    <t>路透原文《Companies left China to dodge tariffs. Now some are heading back》。丹东铸造企业，美国客户转单印度后回流；企业评估外迁后放弃。可作“China+1执行难度”的反向案例。</t>
  </si>
  <si>
    <t>CASE_002</t>
  </si>
  <si>
    <t>美国对东南亚四国光伏产品反规避认定：视为中国原产并适用对华双反</t>
  </si>
  <si>
    <t>案例</t>
  </si>
  <si>
    <t>美国商务部（经律所解读）</t>
  </si>
  <si>
    <t>柬埔寨/马来西亚/泰国/越南</t>
  </si>
  <si>
    <t>2023-08-18</t>
  </si>
  <si>
    <t>https://www.whitecase.com/insight-alert/us-department-commerce-determines-imports-southeast-asia-are-circumventing-addcvd</t>
  </si>
  <si>
    <t>data/raw/case/CASE_002.pdf</t>
  </si>
  <si>
    <t>2022年4月立案，2023年8月终裁。使用中国组件在东南亚完成的电池和组件被认定为规避。原始裁定见DOC_001。回溯验证首选案例。</t>
  </si>
  <si>
    <t>CASE_003</t>
  </si>
  <si>
    <t>同一反规避调查中被认定“未规避”的企业（Hanwha、Jinko马来西亚、Boviet越南）</t>
  </si>
  <si>
    <t>马来西亚/越南</t>
  </si>
  <si>
    <t>https://www.internationaltradeinsights.com/2023/08/commerce-issues-final-determination-on-circumvention-of-solar-cells-and-modules-from-cambodia-malaysia-thailand-and-vietnam/</t>
  </si>
  <si>
    <t>data/raw/case/CASE_003.pdf</t>
  </si>
  <si>
    <t>与CASE_002构成对照：同一规则下，供应链结构不同导致结论不同。适合展示“结论取决于工序布局”。</t>
  </si>
  <si>
    <t>CASE_004</t>
  </si>
  <si>
    <t>中际旭创：泰国工厂产能与国内基本齐平</t>
  </si>
  <si>
    <t>国盛证券（经腾讯新闻转载）</t>
  </si>
  <si>
    <t>2025-11-30</t>
  </si>
  <si>
    <t>https://news.qq.com/rain/a/20251130A04A7P00</t>
  </si>
  <si>
    <t>光模块</t>
  </si>
  <si>
    <t>已核实（二手来源）</t>
  </si>
  <si>
    <t>data/raw/case/CASE_004.pdf</t>
  </si>
  <si>
    <t>券商研报转述。须补充巨潮资讯网年报原文作为S级证据。</t>
  </si>
  <si>
    <t>CASE_005</t>
  </si>
  <si>
    <t>新易盛：2022年设立泰国基地，一二期已投产</t>
  </si>
  <si>
    <t>data/raw/case/CASE_005.pdf</t>
  </si>
  <si>
    <t>另有东方财富财富号称泰国800G月产能30万只（2026-06-06），属C级来源，仅作线索。须补年报原文。</t>
  </si>
  <si>
    <t>CASE_006</t>
  </si>
  <si>
    <t>天孚通信：泰国一期投产、二期2025年投入使用</t>
  </si>
  <si>
    <t>光模块/光器件</t>
  </si>
  <si>
    <t>data/raw/case/CASE_006.pdf</t>
  </si>
  <si>
    <t>须补年报原文。</t>
  </si>
  <si>
    <t>CASE_007</t>
  </si>
  <si>
    <t>华工正源：马来西亚工厂，公开表述为规避地缘风险</t>
  </si>
  <si>
    <t>C114通信网</t>
  </si>
  <si>
    <t>2026-03-25</t>
  </si>
  <si>
    <t>https://www.c114.com.cn/other/241/a1307528.html</t>
  </si>
  <si>
    <t>data/raw/case/CASE_007.pdf</t>
  </si>
  <si>
    <t>“规避地缘风险”为行业媒体表述，须核对华工科技公告或互动易原话。</t>
  </si>
  <si>
    <t>CASE_008</t>
  </si>
  <si>
    <t>光模块厂商选择东南亚建厂以规避与欧美客户合作风险（中际旭创互动平台回复等）</t>
  </si>
  <si>
    <t>中国基金报</t>
  </si>
  <si>
    <t>2024-07-14</t>
  </si>
  <si>
    <t>https://www.chnfund.com/article/AR9cf00569-dbe0-1615-0b4f-3a13c37ad423</t>
  </si>
  <si>
    <t>data/raw/case/CASE_008.pdf</t>
  </si>
  <si>
    <t>文中引用中际旭创互动平台回复，可据此到互动易查原始问答，升级为一手证据。</t>
  </si>
  <si>
    <t>CASE_009</t>
  </si>
  <si>
    <t>BIS 50%穿透规则：发布→暂停→2026-11-10恢复的完整时间线</t>
  </si>
  <si>
    <t>data/raw/case/CASE_009.pdf</t>
  </si>
  <si>
    <t>政策事件型案例，由BIS_001和BIS_002组成。可用于演示“规则变化→客户是否落入边界”。</t>
  </si>
  <si>
    <t>CASE_010</t>
  </si>
  <si>
    <t>白宫点名东南亚为非法转运高风险地区，并推出AI执法工具</t>
  </si>
  <si>
    <t>美国白宫（经律所解读）</t>
  </si>
  <si>
    <t>https://www.alvarezandmarsal.com/node/97806</t>
  </si>
  <si>
    <t>已核实（经咨询机构解读）</t>
  </si>
  <si>
    <t>data/raw/case/CASE_010.pdf</t>
  </si>
  <si>
    <t>由WH_001与WH_002组成。对已在越南/泰国/马来西亚布局的企业，原产地举证压力上升。</t>
  </si>
  <si>
    <t>TRD_001</t>
  </si>
  <si>
    <r>
      <t>美国自中国、越南、泰国、马来西亚进口</t>
    </r>
    <r>
      <rPr>
        <sz val="11"/>
        <color theme="1"/>
        <rFont val="Calibri"/>
        <charset val="1"/>
      </rPr>
      <t xml:space="preserve"> HS 870380, 850760</t>
    </r>
    <r>
      <rPr>
        <sz val="11"/>
        <color theme="1"/>
        <rFont val="宋体-简"/>
        <charset val="1"/>
      </rPr>
      <t>，</t>
    </r>
    <r>
      <rPr>
        <sz val="11"/>
        <color theme="1"/>
        <rFont val="Calibri"/>
        <charset val="1"/>
      </rPr>
      <t>2018–2025</t>
    </r>
    <r>
      <rPr>
        <sz val="11"/>
        <color theme="1"/>
        <rFont val="宋体-简"/>
        <charset val="1"/>
      </rPr>
      <t>年度</t>
    </r>
  </si>
  <si>
    <t>贸易数据</t>
  </si>
  <si>
    <t>联合国商品贸易统计数据库（UN Comtrade）</t>
  </si>
  <si>
    <t>持续更新</t>
  </si>
  <si>
    <t>https://comtradeplus.un.org</t>
  </si>
  <si>
    <t>◆电子/光电</t>
  </si>
  <si>
    <t>待拉取</t>
  </si>
  <si>
    <t>data/raw/trade/TRD_001.csv</t>
  </si>
  <si>
    <t>HS 851762仅为光模块常见归类，须核对。用于观察产能转移痕迹。</t>
  </si>
  <si>
    <t>TRD_002</t>
  </si>
  <si>
    <r>
      <t>美国自越南、泰国、马来西亚、柬埔寨进口光伏组件</t>
    </r>
    <r>
      <rPr>
        <sz val="11"/>
        <color theme="1"/>
        <rFont val="Calibri"/>
        <charset val="1"/>
      </rPr>
      <t>HS 854140</t>
    </r>
    <r>
      <rPr>
        <sz val="11"/>
        <color theme="1"/>
        <rFont val="宋体-简"/>
        <charset val="1"/>
      </rPr>
      <t>，</t>
    </r>
    <r>
      <rPr>
        <sz val="11"/>
        <color theme="1"/>
        <rFont val="Calibri"/>
        <charset val="1"/>
      </rPr>
      <t>2018–2025</t>
    </r>
    <r>
      <rPr>
        <sz val="11"/>
        <color theme="1"/>
        <rFont val="宋体-简"/>
        <charset val="1"/>
      </rPr>
      <t>年度</t>
    </r>
  </si>
  <si>
    <t>◆光伏</t>
  </si>
  <si>
    <t>data/raw/trade/TRD_002.csv</t>
  </si>
  <si>
    <t>HS 2022版起光伏组件编码调整（旧版854140拆分），跨年比较须做编码对照。配合CASE_002做回溯。</t>
  </si>
  <si>
    <t>TRD_003</t>
  </si>
  <si>
    <t>中国对越南、泰国、马来西亚出口 HS 8541/8542（中间品），2018–2025年度</t>
  </si>
  <si>
    <t>data/raw/trade/TRD_003.csv</t>
  </si>
  <si>
    <t>看东南亚产能是否依赖中国中间品，与原产地风险直接相关。</t>
  </si>
  <si>
    <t>ITA_001</t>
  </si>
  <si>
    <t>Consolidated Screening List API（美国合并筛查清单）</t>
  </si>
  <si>
    <t>数据库</t>
  </si>
  <si>
    <t>美国国际贸易管理局（ITA）</t>
  </si>
  <si>
    <t>持续更新（每日）</t>
  </si>
  <si>
    <t>https://www.trade.gov/consolidated-screening-list</t>
  </si>
  <si>
    <t>data/raw/database/ITA_001.json</t>
  </si>
  <si>
    <t>合并商务部、国务院、财政部11份清单；支持模糊名称搜索。</t>
  </si>
  <si>
    <t>FR_001</t>
  </si>
  <si>
    <t>Federal Register API（美国联邦公报）</t>
  </si>
  <si>
    <t>美国国家档案馆联邦公报办公室</t>
  </si>
  <si>
    <t>https://www.federalregister.gov</t>
  </si>
  <si>
    <t>出口管制/关税</t>
  </si>
  <si>
    <t>待验证接口</t>
  </si>
  <si>
    <t>data/raw/database/FR_001.json</t>
  </si>
  <si>
    <t>免费，无需key；按机构（BIS/USTR/CBP）过滤。</t>
  </si>
  <si>
    <t>字段</t>
  </si>
  <si>
    <t>含义</t>
  </si>
  <si>
    <t>填写规则</t>
  </si>
  <si>
    <t>source_id</t>
  </si>
  <si>
    <t>唯一编号</t>
  </si>
  <si>
    <t>出版人缩写_三位序号，如 BIS_001；案例用 CASE_，贸易数据用 TRD_。编号一经分配不再修改。</t>
  </si>
  <si>
    <t>标题</t>
  </si>
  <si>
    <t>文件原标题</t>
  </si>
  <si>
    <t>外文保留原标题，括号内附中文说明。</t>
  </si>
  <si>
    <t>来源类型</t>
  </si>
  <si>
    <t>下拉选择：法规政策 / 官方报告 / 研究报告 / 调查报告 / 新闻报道 / 案例 / 贸易数据 / 数据库</t>
  </si>
  <si>
    <t>出版人</t>
  </si>
  <si>
    <t>发布机构</t>
  </si>
  <si>
    <t>写全称，经第三方转述的注明“经××解读/转载”。</t>
  </si>
  <si>
    <t>国家/地区</t>
  </si>
  <si>
    <t>涉及国家</t>
  </si>
  <si>
    <t>多国用“/”分隔。</t>
  </si>
  <si>
    <t>发布日期</t>
  </si>
  <si>
    <t>YYYY-MM-DD；只知道月份写 YYYY-MM；数据库写“持续更新”。</t>
  </si>
  <si>
    <t>网址</t>
  </si>
  <si>
    <t>原始链接</t>
  </si>
  <si>
    <t>优先官方原文；暂时只有二手链接时写“待补原文链接”并附已核实来源。</t>
  </si>
  <si>
    <t>可信度等级</t>
  </si>
  <si>
    <t>S 官方法规与数据库；A+ 国际组织；A 研究机构与咨询公司；B+ 主流媒体；B 行业协会与律所；C 论坛；D 无出处。C、D 级不进入推理链。</t>
  </si>
  <si>
    <t>主题</t>
  </si>
  <si>
    <t>风险主题</t>
  </si>
  <si>
    <t>出口管制 / 对外投资 / 原产地与转运 / 关税 / 反规避 / 供应链布局 / 宏观风险 / 贸易流</t>
  </si>
  <si>
    <t>本地存档路径</t>
  </si>
  <si>
    <t>data/raw/{policy|report|case|trade|database}/{source_id}.{pdf|csv|json}</t>
  </si>
  <si>
    <t>industry_tag</t>
  </si>
  <si>
    <t>适用产业</t>
  </si>
  <si>
    <t>“通用”表示与产业无关；“◆”表示需在锁定产业后调整。</t>
  </si>
  <si>
    <t>verify_status</t>
  </si>
  <si>
    <t>核实状态</t>
  </si>
  <si>
    <t>已核实 / 已核实（二手来源）/ 待核实原文 / 待拉取 / 待验证接口。黄色底色为待处理。</t>
  </si>
  <si>
    <t>摘要/备注</t>
  </si>
  <si>
    <t>一两句话说明用途</t>
  </si>
  <si>
    <t>用自己的话概括，不大段复制原文。</t>
  </si>
  <si>
    <t>统计</t>
  </si>
  <si>
    <t>记录总数</t>
  </si>
  <si>
    <t>其中：法规政策与官方报告</t>
  </si>
  <si>
    <t>其中：研究与调查报告</t>
  </si>
  <si>
    <t>其中：案例（含新闻报道）</t>
  </si>
  <si>
    <t>其中：贸易数据</t>
  </si>
  <si>
    <t>其中：数据库入口</t>
  </si>
  <si>
    <t>S级记录数</t>
  </si>
  <si>
    <t>待处理记录数</t>
  </si>
  <si>
    <t>field</t>
  </si>
  <si>
    <t>definition</t>
  </si>
  <si>
    <t>standard</t>
  </si>
  <si>
    <t>唯一证据编号</t>
  </si>
  <si>
    <t>机构缩写_序号，如 BIS_001</t>
  </si>
  <si>
    <t>国家/地区代码</t>
  </si>
  <si>
    <t>ISO风格代码，如 US/CN/EU</t>
  </si>
  <si>
    <t>具体管辖范围</t>
  </si>
  <si>
    <t>如 Federal, California, EU-wide, National</t>
  </si>
  <si>
    <t>YYYY-MM-DD</t>
  </si>
  <si>
    <t>生效日期</t>
  </si>
  <si>
    <t>YYYY-MM-DD，政策法规必须区分</t>
  </si>
  <si>
    <t>有效状态</t>
  </si>
  <si>
    <t>CURRENT / EXPIRED / REPEALED / UNKNOWN</t>
  </si>
  <si>
    <t>权威等级</t>
  </si>
  <si>
    <t>S/A/B/C</t>
  </si>
  <si>
    <t>信息获取时间</t>
  </si>
  <si>
    <t>记录网页抓取时间</t>
  </si>
  <si>
    <t>内容摘要</t>
  </si>
  <si>
    <t>事实性概括</t>
  </si>
  <si>
    <t>适用范围</t>
  </si>
  <si>
    <t>说明适用对象、产业、地域</t>
  </si>
  <si>
    <t>不确定性</t>
  </si>
  <si>
    <t>记录缺失信息或争议</t>
  </si>
  <si>
    <t>rule</t>
  </si>
  <si>
    <t>description</t>
  </si>
  <si>
    <t>直接涉及battery/EV产业链、关键材料、出口管制、贸易政策、产业政策</t>
  </si>
  <si>
    <t>宏观政策，需人工判断是否影响目标产业</t>
  </si>
  <si>
    <t>REMOVE</t>
  </si>
  <si>
    <t>与battery/EV无实际关联的信息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</si>
</sst>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"/>
    </font>
    <font>
      <b/>
      <sz val="11"/>
      <name val="Calibri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1"/>
      <name val="Noto Sans CJK SC"/>
      <charset val="134"/>
    </font>
    <font>
      <sz val="11"/>
      <color theme="1"/>
      <name val="宋体-简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6" fillId="0" borderId="0">
      <alignment vertical="center"/>
    </xf>
    <xf numFmtId="0" fontId="7" fillId="0" borderId="0">
      <alignment vertical="center"/>
    </xf>
    <xf numFmtId="0" fontId="9" fillId="3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4" borderId="4">
      <alignment vertical="center"/>
    </xf>
    <xf numFmtId="0" fontId="17" fillId="5" borderId="5">
      <alignment vertical="center"/>
    </xf>
    <xf numFmtId="0" fontId="18" fillId="5" borderId="4">
      <alignment vertical="center"/>
    </xf>
    <xf numFmtId="0" fontId="19" fillId="6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6" fillId="0" borderId="0" xfId="6">
      <alignment vertical="center"/>
    </xf>
    <xf numFmtId="0" fontId="7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bnnbloomberg.ca/business/international/2026/09/14/companies-left-china-to-dodge-tariffs-now-some-are-heading-back/" TargetMode="External"/><Relationship Id="rId8" Type="http://schemas.openxmlformats.org/officeDocument/2006/relationships/hyperlink" Target="https://www.csis.org/analysis/visibility-gap-how-ai-can-stop-chinese-transshipment-under-usmca" TargetMode="External"/><Relationship Id="rId7" Type="http://schemas.openxmlformats.org/officeDocument/2006/relationships/hyperlink" Target="https://kpmg.com/us/en/articles/2026/2026-supply-chain-survey.html" TargetMode="External"/><Relationship Id="rId6" Type="http://schemas.openxmlformats.org/officeDocument/2006/relationships/hyperlink" Target="https://unctad.org/publication/world-investment-report-2026" TargetMode="External"/><Relationship Id="rId5" Type="http://schemas.openxmlformats.org/officeDocument/2006/relationships/hyperlink" Target="https://www.weforum.org/publications/global-risks-report-2026" TargetMode="External"/><Relationship Id="rId4" Type="http://schemas.openxmlformats.org/officeDocument/2006/relationships/hyperlink" Target="https://www.mofcom.gov.cn/zwgk/zcfb/art/2025/art_c03d1e511b2b486e829d68e8f1422aff.html" TargetMode="External"/><Relationship Id="rId3" Type="http://schemas.openxmlformats.org/officeDocument/2006/relationships/hyperlink" Target="https://www.gov.cn/gongbao/2026/issue_12786/202606/content_7071618.html" TargetMode="External"/><Relationship Id="rId2" Type="http://schemas.openxmlformats.org/officeDocument/2006/relationships/hyperlink" Target="https://www.federalregister.gov/documents/2025/11/12/2025-19846/one-year-suspension-of-expansion-of-end-user-controls-for-affiliates-of-certain-listed-entities" TargetMode="External"/><Relationship Id="rId18" Type="http://schemas.openxmlformats.org/officeDocument/2006/relationships/hyperlink" Target="https://www.federalregister.gov" TargetMode="External"/><Relationship Id="rId17" Type="http://schemas.openxmlformats.org/officeDocument/2006/relationships/hyperlink" Target="https://www.trade.gov/consolidated-screening-list" TargetMode="External"/><Relationship Id="rId16" Type="http://schemas.openxmlformats.org/officeDocument/2006/relationships/hyperlink" Target="https://comtradeplus.un.org" TargetMode="External"/><Relationship Id="rId15" Type="http://schemas.openxmlformats.org/officeDocument/2006/relationships/hyperlink" Target="https://www.alvarezandmarsal.com/node/97806" TargetMode="External"/><Relationship Id="rId14" Type="http://schemas.openxmlformats.org/officeDocument/2006/relationships/hyperlink" Target="https://www.chnfund.com/article/AR9cf00569-dbe0-1615-0b4f-3a13c37ad423" TargetMode="External"/><Relationship Id="rId13" Type="http://schemas.openxmlformats.org/officeDocument/2006/relationships/hyperlink" Target="https://www.c114.com.cn/other/241/a1307528.html" TargetMode="External"/><Relationship Id="rId12" Type="http://schemas.openxmlformats.org/officeDocument/2006/relationships/hyperlink" Target="https://news.qq.com/rain/a/20251130A04A7P00" TargetMode="External"/><Relationship Id="rId11" Type="http://schemas.openxmlformats.org/officeDocument/2006/relationships/hyperlink" Target="https://www.internationaltradeinsights.com/2023/08/commerce-issues-final-determination-on-circumvention-of-solar-cells-and-modules-from-cambodia-malaysia-thailand-and-vietnam/" TargetMode="External"/><Relationship Id="rId10" Type="http://schemas.openxmlformats.org/officeDocument/2006/relationships/hyperlink" Target="https://www.whitecase.com/insight-alert/us-department-commerce-determines-imports-southeast-asia-are-circumventing-addcvd" TargetMode="External"/><Relationship Id="rId1" Type="http://schemas.openxmlformats.org/officeDocument/2006/relationships/hyperlink" Target="https://www.federalregister.gov/documents/2025/09/30/2025-19001/expansion-of-end-user-controls-to-cover-affiliates-of-certain-listed-ent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32" sqref="A32:B32"/>
    </sheetView>
  </sheetViews>
  <sheetFormatPr defaultColWidth="8.6796875" defaultRowHeight="16.8"/>
  <cols>
    <col min="1" max="25" width="20" customWidth="1"/>
  </cols>
  <sheetData>
    <row r="1" ht="34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</row>
    <row r="2" ht="46" customHeight="1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9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/>
      <c r="Q2" s="2" t="s">
        <v>39</v>
      </c>
      <c r="R2" s="2"/>
      <c r="S2" s="2" t="s">
        <v>40</v>
      </c>
      <c r="T2" s="2" t="s">
        <v>40</v>
      </c>
      <c r="U2" s="2"/>
      <c r="V2" s="2"/>
      <c r="W2" s="2" t="s">
        <v>41</v>
      </c>
      <c r="X2" s="2" t="s">
        <v>42</v>
      </c>
      <c r="Y2" s="2" t="s">
        <v>43</v>
      </c>
    </row>
    <row r="3" ht="46" customHeight="1" spans="1:25">
      <c r="A3" s="2" t="s">
        <v>44</v>
      </c>
      <c r="B3" s="2" t="s">
        <v>45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46</v>
      </c>
      <c r="H3" s="2"/>
      <c r="I3" s="2" t="s">
        <v>32</v>
      </c>
      <c r="J3" s="9" t="s">
        <v>47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/>
      <c r="Q3" s="2" t="s">
        <v>48</v>
      </c>
      <c r="R3" s="2"/>
      <c r="S3" s="2" t="s">
        <v>49</v>
      </c>
      <c r="T3" s="2" t="s">
        <v>49</v>
      </c>
      <c r="U3" s="2"/>
      <c r="V3" s="2"/>
      <c r="W3" s="2" t="s">
        <v>41</v>
      </c>
      <c r="X3" s="2" t="s">
        <v>42</v>
      </c>
      <c r="Y3" s="2" t="s">
        <v>43</v>
      </c>
    </row>
    <row r="4" ht="31" customHeight="1" spans="1:25">
      <c r="A4" s="2" t="s">
        <v>50</v>
      </c>
      <c r="B4" s="2" t="s">
        <v>51</v>
      </c>
      <c r="C4" s="2" t="s">
        <v>27</v>
      </c>
      <c r="D4" s="2" t="s">
        <v>52</v>
      </c>
      <c r="E4" s="2" t="s">
        <v>53</v>
      </c>
      <c r="F4" s="2" t="s">
        <v>54</v>
      </c>
      <c r="G4" s="2" t="s">
        <v>55</v>
      </c>
      <c r="H4" s="2"/>
      <c r="I4" s="2" t="s">
        <v>32</v>
      </c>
      <c r="J4" s="9" t="s">
        <v>56</v>
      </c>
      <c r="K4" s="2" t="s">
        <v>34</v>
      </c>
      <c r="L4" s="2" t="s">
        <v>57</v>
      </c>
      <c r="M4" s="2" t="s">
        <v>36</v>
      </c>
      <c r="N4" s="2" t="s">
        <v>37</v>
      </c>
      <c r="O4" s="2" t="s">
        <v>38</v>
      </c>
      <c r="P4" s="2"/>
      <c r="Q4" s="2" t="s">
        <v>58</v>
      </c>
      <c r="R4" s="2"/>
      <c r="S4" s="2" t="s">
        <v>59</v>
      </c>
      <c r="T4" s="2" t="s">
        <v>59</v>
      </c>
      <c r="U4" s="2"/>
      <c r="V4" s="2"/>
      <c r="W4" s="2" t="s">
        <v>60</v>
      </c>
      <c r="X4" s="2" t="s">
        <v>61</v>
      </c>
      <c r="Y4" s="2" t="s">
        <v>62</v>
      </c>
    </row>
    <row r="5" ht="31" customHeight="1" spans="1:25">
      <c r="A5" s="2" t="s">
        <v>63</v>
      </c>
      <c r="B5" s="2" t="s">
        <v>64</v>
      </c>
      <c r="C5" s="2" t="s">
        <v>27</v>
      </c>
      <c r="D5" s="2" t="s">
        <v>65</v>
      </c>
      <c r="E5" s="2" t="s">
        <v>53</v>
      </c>
      <c r="F5" s="2" t="s">
        <v>54</v>
      </c>
      <c r="G5" s="2" t="s">
        <v>66</v>
      </c>
      <c r="H5" s="2"/>
      <c r="I5" s="2" t="s">
        <v>32</v>
      </c>
      <c r="J5" s="9" t="s">
        <v>67</v>
      </c>
      <c r="K5" s="2" t="s">
        <v>34</v>
      </c>
      <c r="L5" s="2" t="s">
        <v>35</v>
      </c>
      <c r="M5" s="2" t="s">
        <v>36</v>
      </c>
      <c r="N5" s="2" t="s">
        <v>68</v>
      </c>
      <c r="O5" s="2" t="s">
        <v>38</v>
      </c>
      <c r="P5" s="2"/>
      <c r="Q5" s="2" t="s">
        <v>69</v>
      </c>
      <c r="R5" s="2"/>
      <c r="S5" s="2" t="s">
        <v>70</v>
      </c>
      <c r="T5" s="2" t="s">
        <v>70</v>
      </c>
      <c r="U5" s="2"/>
      <c r="V5" s="2"/>
      <c r="W5" s="2" t="s">
        <v>41</v>
      </c>
      <c r="X5" s="2" t="s">
        <v>42</v>
      </c>
      <c r="Y5" s="2" t="s">
        <v>43</v>
      </c>
    </row>
    <row r="6" ht="31" customHeight="1" spans="1:25">
      <c r="A6" s="2" t="s">
        <v>71</v>
      </c>
      <c r="B6" s="7" t="s">
        <v>72</v>
      </c>
      <c r="C6" s="2" t="s">
        <v>27</v>
      </c>
      <c r="D6" s="2" t="s">
        <v>73</v>
      </c>
      <c r="E6" s="2" t="s">
        <v>53</v>
      </c>
      <c r="F6" s="2" t="s">
        <v>54</v>
      </c>
      <c r="G6" s="2" t="s">
        <v>74</v>
      </c>
      <c r="H6" s="2"/>
      <c r="I6" s="2" t="s">
        <v>32</v>
      </c>
      <c r="J6" s="2" t="s">
        <v>75</v>
      </c>
      <c r="K6" s="2" t="s">
        <v>34</v>
      </c>
      <c r="L6" s="2" t="s">
        <v>35</v>
      </c>
      <c r="M6" s="2" t="s">
        <v>36</v>
      </c>
      <c r="N6" s="2" t="s">
        <v>68</v>
      </c>
      <c r="O6" s="2" t="s">
        <v>76</v>
      </c>
      <c r="P6" s="2"/>
      <c r="Q6" s="2" t="s">
        <v>77</v>
      </c>
      <c r="R6" s="2"/>
      <c r="S6" s="2" t="s">
        <v>78</v>
      </c>
      <c r="T6" s="2" t="s">
        <v>78</v>
      </c>
      <c r="U6" s="2"/>
      <c r="V6" s="2"/>
      <c r="W6" s="2" t="s">
        <v>41</v>
      </c>
      <c r="X6" s="2" t="s">
        <v>42</v>
      </c>
      <c r="Y6" s="2" t="s">
        <v>43</v>
      </c>
    </row>
    <row r="7" ht="46" customHeight="1" spans="1:25">
      <c r="A7" s="2" t="s">
        <v>79</v>
      </c>
      <c r="B7" s="8" t="s">
        <v>80</v>
      </c>
      <c r="C7" s="2" t="s">
        <v>27</v>
      </c>
      <c r="D7" s="2" t="s">
        <v>81</v>
      </c>
      <c r="E7" s="2" t="s">
        <v>29</v>
      </c>
      <c r="F7" s="2" t="s">
        <v>30</v>
      </c>
      <c r="G7" s="2" t="s">
        <v>82</v>
      </c>
      <c r="H7" s="2"/>
      <c r="I7" s="2" t="s">
        <v>32</v>
      </c>
      <c r="J7" s="2" t="s">
        <v>83</v>
      </c>
      <c r="K7" s="2" t="s">
        <v>34</v>
      </c>
      <c r="L7" s="2" t="s">
        <v>84</v>
      </c>
      <c r="M7" s="2" t="s">
        <v>36</v>
      </c>
      <c r="N7" s="2" t="s">
        <v>37</v>
      </c>
      <c r="O7" s="2" t="s">
        <v>85</v>
      </c>
      <c r="P7" s="2"/>
      <c r="Q7" s="2" t="s">
        <v>86</v>
      </c>
      <c r="R7" s="2"/>
      <c r="S7" s="2" t="s">
        <v>87</v>
      </c>
      <c r="T7" s="2" t="s">
        <v>87</v>
      </c>
      <c r="U7" s="2"/>
      <c r="V7" s="2"/>
      <c r="W7" s="2" t="s">
        <v>60</v>
      </c>
      <c r="X7" s="2" t="s">
        <v>61</v>
      </c>
      <c r="Y7" s="2" t="s">
        <v>62</v>
      </c>
    </row>
    <row r="8" ht="61" customHeight="1" spans="1:25">
      <c r="A8" s="2" t="s">
        <v>88</v>
      </c>
      <c r="B8" s="8" t="s">
        <v>89</v>
      </c>
      <c r="C8" s="2" t="s">
        <v>90</v>
      </c>
      <c r="D8" s="2" t="s">
        <v>91</v>
      </c>
      <c r="E8" s="2" t="s">
        <v>29</v>
      </c>
      <c r="F8" s="2" t="s">
        <v>30</v>
      </c>
      <c r="G8" s="2" t="s">
        <v>92</v>
      </c>
      <c r="H8" s="2"/>
      <c r="I8" s="2" t="s">
        <v>32</v>
      </c>
      <c r="J8" s="7" t="s">
        <v>93</v>
      </c>
      <c r="K8" s="2" t="s">
        <v>34</v>
      </c>
      <c r="L8" s="2" t="s">
        <v>84</v>
      </c>
      <c r="M8" s="2" t="s">
        <v>36</v>
      </c>
      <c r="N8" s="2" t="s">
        <v>37</v>
      </c>
      <c r="O8" s="2" t="s">
        <v>85</v>
      </c>
      <c r="P8" s="2"/>
      <c r="Q8" s="2" t="s">
        <v>94</v>
      </c>
      <c r="R8" s="2"/>
      <c r="S8" s="2" t="s">
        <v>95</v>
      </c>
      <c r="T8" s="2" t="s">
        <v>95</v>
      </c>
      <c r="U8" s="2"/>
      <c r="V8" s="2"/>
      <c r="W8" s="2" t="s">
        <v>60</v>
      </c>
      <c r="X8" s="2" t="s">
        <v>61</v>
      </c>
      <c r="Y8" s="2" t="s">
        <v>62</v>
      </c>
    </row>
    <row r="9" ht="61" customHeight="1" spans="1:25">
      <c r="A9" s="2" t="s">
        <v>96</v>
      </c>
      <c r="B9" s="8" t="s">
        <v>97</v>
      </c>
      <c r="C9" s="2" t="s">
        <v>27</v>
      </c>
      <c r="D9" s="2" t="s">
        <v>98</v>
      </c>
      <c r="E9" s="2" t="s">
        <v>29</v>
      </c>
      <c r="F9" s="2" t="s">
        <v>30</v>
      </c>
      <c r="G9" s="2" t="s">
        <v>99</v>
      </c>
      <c r="H9" s="2"/>
      <c r="I9" s="2" t="s">
        <v>32</v>
      </c>
      <c r="J9" s="2" t="s">
        <v>100</v>
      </c>
      <c r="K9" s="2" t="s">
        <v>34</v>
      </c>
      <c r="L9" s="2" t="s">
        <v>101</v>
      </c>
      <c r="M9" s="2" t="s">
        <v>36</v>
      </c>
      <c r="N9" s="2" t="s">
        <v>102</v>
      </c>
      <c r="O9" s="2" t="s">
        <v>85</v>
      </c>
      <c r="P9" s="2"/>
      <c r="Q9" s="2" t="s">
        <v>103</v>
      </c>
      <c r="R9" s="2"/>
      <c r="S9" s="2" t="s">
        <v>104</v>
      </c>
      <c r="T9" s="2" t="s">
        <v>104</v>
      </c>
      <c r="U9" s="2"/>
      <c r="V9" s="2"/>
      <c r="W9" s="2" t="s">
        <v>60</v>
      </c>
      <c r="X9" s="2" t="s">
        <v>61</v>
      </c>
      <c r="Y9" s="2" t="s">
        <v>62</v>
      </c>
    </row>
    <row r="10" ht="51" spans="1:25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109</v>
      </c>
      <c r="F10" s="2"/>
      <c r="G10" s="2" t="s">
        <v>110</v>
      </c>
      <c r="H10" s="2"/>
      <c r="I10" s="2" t="s">
        <v>32</v>
      </c>
      <c r="J10" s="9" t="s">
        <v>111</v>
      </c>
      <c r="K10" s="2" t="s">
        <v>112</v>
      </c>
      <c r="L10" s="2" t="s">
        <v>113</v>
      </c>
      <c r="M10" s="2" t="s">
        <v>36</v>
      </c>
      <c r="N10" s="2" t="s">
        <v>37</v>
      </c>
      <c r="O10" s="2" t="s">
        <v>38</v>
      </c>
      <c r="P10" s="2"/>
      <c r="Q10" s="2" t="s">
        <v>114</v>
      </c>
      <c r="R10" s="2"/>
      <c r="S10" s="2" t="s">
        <v>115</v>
      </c>
      <c r="T10" s="2" t="s">
        <v>115</v>
      </c>
      <c r="U10" s="2"/>
      <c r="V10" s="2"/>
      <c r="W10" s="2" t="s">
        <v>60</v>
      </c>
      <c r="X10" s="2" t="s">
        <v>61</v>
      </c>
      <c r="Y10" s="2" t="s">
        <v>62</v>
      </c>
    </row>
    <row r="11" ht="31" customHeight="1" spans="1:25">
      <c r="A11" s="2" t="s">
        <v>116</v>
      </c>
      <c r="B11" s="2" t="s">
        <v>117</v>
      </c>
      <c r="C11" s="2" t="s">
        <v>107</v>
      </c>
      <c r="D11" s="2" t="s">
        <v>118</v>
      </c>
      <c r="E11" s="2" t="s">
        <v>109</v>
      </c>
      <c r="F11" s="2"/>
      <c r="G11" s="2" t="s">
        <v>119</v>
      </c>
      <c r="H11" s="2"/>
      <c r="I11" s="2" t="s">
        <v>32</v>
      </c>
      <c r="J11" s="9" t="s">
        <v>120</v>
      </c>
      <c r="K11" s="2" t="s">
        <v>112</v>
      </c>
      <c r="L11" s="2" t="s">
        <v>57</v>
      </c>
      <c r="M11" s="2" t="s">
        <v>36</v>
      </c>
      <c r="N11" s="2" t="s">
        <v>37</v>
      </c>
      <c r="O11" s="2" t="s">
        <v>38</v>
      </c>
      <c r="P11" s="2"/>
      <c r="Q11" s="2" t="s">
        <v>121</v>
      </c>
      <c r="R11" s="2"/>
      <c r="S11" s="2" t="s">
        <v>122</v>
      </c>
      <c r="T11" s="2" t="s">
        <v>122</v>
      </c>
      <c r="U11" s="2"/>
      <c r="V11" s="2"/>
      <c r="W11" s="2" t="s">
        <v>60</v>
      </c>
      <c r="X11" s="2" t="s">
        <v>61</v>
      </c>
      <c r="Y11" s="2" t="s">
        <v>62</v>
      </c>
    </row>
    <row r="12" ht="31" customHeight="1" spans="1:25">
      <c r="A12" s="2" t="s">
        <v>123</v>
      </c>
      <c r="B12" s="8" t="s">
        <v>124</v>
      </c>
      <c r="C12" s="2" t="s">
        <v>107</v>
      </c>
      <c r="D12" s="2" t="s">
        <v>125</v>
      </c>
      <c r="E12" s="2" t="s">
        <v>109</v>
      </c>
      <c r="F12" s="2"/>
      <c r="G12" s="2" t="s">
        <v>126</v>
      </c>
      <c r="H12" s="2"/>
      <c r="I12" s="2" t="s">
        <v>32</v>
      </c>
      <c r="J12" s="2" t="s">
        <v>127</v>
      </c>
      <c r="K12" s="2" t="s">
        <v>112</v>
      </c>
      <c r="L12" s="2" t="s">
        <v>128</v>
      </c>
      <c r="M12" s="2" t="s">
        <v>36</v>
      </c>
      <c r="N12" s="2" t="s">
        <v>37</v>
      </c>
      <c r="O12" s="2" t="s">
        <v>129</v>
      </c>
      <c r="P12" s="2"/>
      <c r="Q12" s="2" t="s">
        <v>130</v>
      </c>
      <c r="R12" s="2"/>
      <c r="S12" s="2" t="s">
        <v>131</v>
      </c>
      <c r="T12" s="2" t="s">
        <v>131</v>
      </c>
      <c r="U12" s="2"/>
      <c r="V12" s="2"/>
      <c r="W12" s="2" t="s">
        <v>60</v>
      </c>
      <c r="X12" s="2" t="s">
        <v>61</v>
      </c>
      <c r="Y12" s="2" t="s">
        <v>62</v>
      </c>
    </row>
    <row r="13" ht="31" customHeight="1" spans="1:25">
      <c r="A13" s="2" t="s">
        <v>132</v>
      </c>
      <c r="B13" s="2" t="s">
        <v>133</v>
      </c>
      <c r="C13" s="2" t="s">
        <v>134</v>
      </c>
      <c r="D13" s="2" t="s">
        <v>135</v>
      </c>
      <c r="E13" s="2" t="s">
        <v>29</v>
      </c>
      <c r="F13" s="2" t="s">
        <v>30</v>
      </c>
      <c r="G13" s="2" t="s">
        <v>136</v>
      </c>
      <c r="H13" s="2"/>
      <c r="I13" s="2" t="s">
        <v>32</v>
      </c>
      <c r="J13" s="9" t="s">
        <v>137</v>
      </c>
      <c r="K13" s="2" t="s">
        <v>138</v>
      </c>
      <c r="L13" s="2" t="s">
        <v>139</v>
      </c>
      <c r="M13" s="2" t="s">
        <v>36</v>
      </c>
      <c r="N13" s="2" t="s">
        <v>37</v>
      </c>
      <c r="O13" s="2" t="s">
        <v>38</v>
      </c>
      <c r="P13" s="2"/>
      <c r="Q13" s="2" t="s">
        <v>140</v>
      </c>
      <c r="R13" s="2"/>
      <c r="S13" s="2" t="s">
        <v>141</v>
      </c>
      <c r="T13" s="2" t="s">
        <v>141</v>
      </c>
      <c r="U13" s="2"/>
      <c r="V13" s="2"/>
      <c r="W13" s="2" t="s">
        <v>60</v>
      </c>
      <c r="X13" s="2" t="s">
        <v>61</v>
      </c>
      <c r="Y13" s="2" t="s">
        <v>62</v>
      </c>
    </row>
    <row r="14" ht="31" customHeight="1" spans="1:25">
      <c r="A14" s="2" t="s">
        <v>142</v>
      </c>
      <c r="B14" s="2" t="s">
        <v>143</v>
      </c>
      <c r="C14" s="2" t="s">
        <v>134</v>
      </c>
      <c r="D14" s="2" t="s">
        <v>144</v>
      </c>
      <c r="E14" s="2" t="s">
        <v>109</v>
      </c>
      <c r="F14" s="2"/>
      <c r="G14" s="2" t="s">
        <v>145</v>
      </c>
      <c r="H14" s="2"/>
      <c r="I14" s="2" t="s">
        <v>32</v>
      </c>
      <c r="J14" s="2" t="s">
        <v>146</v>
      </c>
      <c r="K14" s="2" t="s">
        <v>138</v>
      </c>
      <c r="L14" s="2" t="s">
        <v>113</v>
      </c>
      <c r="M14" s="2" t="s">
        <v>36</v>
      </c>
      <c r="N14" s="2" t="s">
        <v>37</v>
      </c>
      <c r="O14" s="2" t="s">
        <v>147</v>
      </c>
      <c r="P14" s="2"/>
      <c r="Q14" s="2" t="s">
        <v>148</v>
      </c>
      <c r="R14" s="2"/>
      <c r="S14" s="2" t="s">
        <v>149</v>
      </c>
      <c r="T14" s="2" t="s">
        <v>149</v>
      </c>
      <c r="U14" s="2"/>
      <c r="V14" s="2"/>
      <c r="W14" s="2" t="s">
        <v>60</v>
      </c>
      <c r="X14" s="2" t="s">
        <v>61</v>
      </c>
      <c r="Y14" s="2" t="s">
        <v>62</v>
      </c>
    </row>
    <row r="15" ht="31" customHeight="1" spans="1:25">
      <c r="A15" s="2" t="s">
        <v>150</v>
      </c>
      <c r="B15" s="2" t="s">
        <v>151</v>
      </c>
      <c r="C15" s="2" t="s">
        <v>107</v>
      </c>
      <c r="D15" s="2" t="s">
        <v>152</v>
      </c>
      <c r="E15" s="2" t="s">
        <v>29</v>
      </c>
      <c r="F15" s="2" t="s">
        <v>30</v>
      </c>
      <c r="G15" s="2" t="s">
        <v>153</v>
      </c>
      <c r="H15" s="2"/>
      <c r="I15" s="2" t="s">
        <v>32</v>
      </c>
      <c r="J15" s="9" t="s">
        <v>154</v>
      </c>
      <c r="K15" s="2" t="s">
        <v>138</v>
      </c>
      <c r="L15" s="2" t="s">
        <v>84</v>
      </c>
      <c r="M15" s="2" t="s">
        <v>36</v>
      </c>
      <c r="N15" s="2" t="s">
        <v>37</v>
      </c>
      <c r="O15" s="2" t="s">
        <v>129</v>
      </c>
      <c r="P15" s="2"/>
      <c r="Q15" s="2" t="s">
        <v>155</v>
      </c>
      <c r="R15" s="2"/>
      <c r="S15" s="2" t="s">
        <v>156</v>
      </c>
      <c r="T15" s="2" t="s">
        <v>156</v>
      </c>
      <c r="U15" s="2"/>
      <c r="V15" s="2"/>
      <c r="W15" s="2" t="s">
        <v>60</v>
      </c>
      <c r="X15" s="2" t="s">
        <v>61</v>
      </c>
      <c r="Y15" s="2" t="s">
        <v>62</v>
      </c>
    </row>
    <row r="16" ht="31" customHeight="1" spans="1:25">
      <c r="A16" s="2" t="s">
        <v>157</v>
      </c>
      <c r="B16" s="2" t="s">
        <v>158</v>
      </c>
      <c r="C16" s="2" t="s">
        <v>107</v>
      </c>
      <c r="D16" s="2" t="s">
        <v>159</v>
      </c>
      <c r="E16" s="2" t="s">
        <v>109</v>
      </c>
      <c r="F16" s="2"/>
      <c r="G16" s="2" t="s">
        <v>160</v>
      </c>
      <c r="H16" s="2"/>
      <c r="I16" s="2" t="s">
        <v>32</v>
      </c>
      <c r="J16" s="2" t="s">
        <v>161</v>
      </c>
      <c r="K16" s="2" t="s">
        <v>112</v>
      </c>
      <c r="L16" s="2" t="s">
        <v>57</v>
      </c>
      <c r="M16" s="2" t="s">
        <v>36</v>
      </c>
      <c r="N16" s="2" t="s">
        <v>37</v>
      </c>
      <c r="O16" s="2" t="s">
        <v>162</v>
      </c>
      <c r="P16" s="2"/>
      <c r="Q16" s="2" t="s">
        <v>163</v>
      </c>
      <c r="R16" s="2"/>
      <c r="S16" s="2" t="s">
        <v>164</v>
      </c>
      <c r="T16" s="2" t="s">
        <v>164</v>
      </c>
      <c r="U16" s="2"/>
      <c r="V16" s="2"/>
      <c r="W16" s="2" t="s">
        <v>60</v>
      </c>
      <c r="X16" s="2" t="s">
        <v>61</v>
      </c>
      <c r="Y16" s="2" t="s">
        <v>62</v>
      </c>
    </row>
    <row r="17" ht="46" customHeight="1" spans="1:25">
      <c r="A17" s="2" t="s">
        <v>165</v>
      </c>
      <c r="B17" s="2" t="s">
        <v>166</v>
      </c>
      <c r="C17" s="2" t="s">
        <v>167</v>
      </c>
      <c r="D17" s="2" t="s">
        <v>168</v>
      </c>
      <c r="E17" s="2" t="s">
        <v>53</v>
      </c>
      <c r="F17" s="2" t="s">
        <v>54</v>
      </c>
      <c r="G17" s="2" t="s">
        <v>169</v>
      </c>
      <c r="H17" s="2"/>
      <c r="I17" s="2" t="s">
        <v>32</v>
      </c>
      <c r="J17" s="9" t="s">
        <v>170</v>
      </c>
      <c r="K17" s="2" t="s">
        <v>171</v>
      </c>
      <c r="L17" s="2" t="s">
        <v>139</v>
      </c>
      <c r="M17" s="2" t="s">
        <v>36</v>
      </c>
      <c r="N17" s="2" t="s">
        <v>172</v>
      </c>
      <c r="O17" s="2" t="s">
        <v>173</v>
      </c>
      <c r="P17" s="2"/>
      <c r="Q17" s="2" t="s">
        <v>174</v>
      </c>
      <c r="R17" s="2"/>
      <c r="S17" s="2" t="s">
        <v>175</v>
      </c>
      <c r="T17" s="2" t="s">
        <v>175</v>
      </c>
      <c r="U17" s="2"/>
      <c r="V17" s="2"/>
      <c r="W17" s="2" t="s">
        <v>60</v>
      </c>
      <c r="X17" s="2" t="s">
        <v>61</v>
      </c>
      <c r="Y17" s="2" t="s">
        <v>62</v>
      </c>
    </row>
    <row r="18" ht="31" customHeight="1" spans="1:25">
      <c r="A18" s="2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/>
      <c r="G18" s="2" t="s">
        <v>181</v>
      </c>
      <c r="H18" s="2"/>
      <c r="I18" s="2" t="s">
        <v>32</v>
      </c>
      <c r="J18" s="9" t="s">
        <v>182</v>
      </c>
      <c r="K18" s="2" t="s">
        <v>34</v>
      </c>
      <c r="L18" s="2" t="s">
        <v>101</v>
      </c>
      <c r="M18" s="2" t="s">
        <v>36</v>
      </c>
      <c r="N18" s="2" t="s">
        <v>102</v>
      </c>
      <c r="O18" s="2" t="s">
        <v>38</v>
      </c>
      <c r="P18" s="2"/>
      <c r="Q18" s="2" t="s">
        <v>183</v>
      </c>
      <c r="R18" s="2"/>
      <c r="S18" s="2" t="s">
        <v>184</v>
      </c>
      <c r="T18" s="2" t="s">
        <v>184</v>
      </c>
      <c r="U18" s="2"/>
      <c r="V18" s="2"/>
      <c r="W18" s="2" t="s">
        <v>60</v>
      </c>
      <c r="X18" s="2" t="s">
        <v>61</v>
      </c>
      <c r="Y18" s="2" t="s">
        <v>62</v>
      </c>
    </row>
    <row r="19" ht="46" customHeight="1" spans="1:25">
      <c r="A19" s="2" t="s">
        <v>185</v>
      </c>
      <c r="B19" s="2" t="s">
        <v>186</v>
      </c>
      <c r="C19" s="2" t="s">
        <v>178</v>
      </c>
      <c r="D19" s="2" t="s">
        <v>179</v>
      </c>
      <c r="E19" s="2" t="s">
        <v>187</v>
      </c>
      <c r="F19" s="2"/>
      <c r="G19" s="2" t="s">
        <v>181</v>
      </c>
      <c r="H19" s="2"/>
      <c r="I19" s="2" t="s">
        <v>32</v>
      </c>
      <c r="J19" s="9" t="s">
        <v>188</v>
      </c>
      <c r="K19" s="2" t="s">
        <v>34</v>
      </c>
      <c r="L19" s="2" t="s">
        <v>101</v>
      </c>
      <c r="M19" s="2" t="s">
        <v>36</v>
      </c>
      <c r="N19" s="2" t="s">
        <v>102</v>
      </c>
      <c r="O19" s="2" t="s">
        <v>38</v>
      </c>
      <c r="P19" s="2"/>
      <c r="Q19" s="2" t="s">
        <v>189</v>
      </c>
      <c r="R19" s="2"/>
      <c r="S19" s="2" t="s">
        <v>190</v>
      </c>
      <c r="T19" s="2" t="s">
        <v>190</v>
      </c>
      <c r="U19" s="2"/>
      <c r="V19" s="2"/>
      <c r="W19" s="2" t="s">
        <v>60</v>
      </c>
      <c r="X19" s="2" t="s">
        <v>61</v>
      </c>
      <c r="Y19" s="2" t="s">
        <v>62</v>
      </c>
    </row>
    <row r="20" ht="51" spans="1:25">
      <c r="A20" s="2" t="s">
        <v>191</v>
      </c>
      <c r="B20" s="2" t="s">
        <v>192</v>
      </c>
      <c r="C20" s="2" t="s">
        <v>167</v>
      </c>
      <c r="D20" s="2" t="s">
        <v>193</v>
      </c>
      <c r="E20" s="2" t="s">
        <v>53</v>
      </c>
      <c r="F20" s="2" t="s">
        <v>54</v>
      </c>
      <c r="G20" s="2" t="s">
        <v>194</v>
      </c>
      <c r="H20" s="2"/>
      <c r="I20" s="2" t="s">
        <v>32</v>
      </c>
      <c r="J20" s="9" t="s">
        <v>195</v>
      </c>
      <c r="K20" s="2" t="s">
        <v>171</v>
      </c>
      <c r="L20" s="2" t="s">
        <v>139</v>
      </c>
      <c r="M20" s="2" t="s">
        <v>36</v>
      </c>
      <c r="N20" s="2" t="s">
        <v>196</v>
      </c>
      <c r="O20" s="2" t="s">
        <v>197</v>
      </c>
      <c r="P20" s="2"/>
      <c r="Q20" s="2" t="s">
        <v>198</v>
      </c>
      <c r="R20" s="2"/>
      <c r="S20" s="2" t="s">
        <v>199</v>
      </c>
      <c r="T20" s="2" t="s">
        <v>199</v>
      </c>
      <c r="U20" s="2"/>
      <c r="V20" s="2"/>
      <c r="W20" s="2" t="s">
        <v>60</v>
      </c>
      <c r="X20" s="2" t="s">
        <v>61</v>
      </c>
      <c r="Y20" s="2" t="s">
        <v>62</v>
      </c>
    </row>
    <row r="21" ht="31" customHeight="1" spans="1:25">
      <c r="A21" s="2" t="s">
        <v>200</v>
      </c>
      <c r="B21" s="2" t="s">
        <v>201</v>
      </c>
      <c r="C21" s="2" t="s">
        <v>167</v>
      </c>
      <c r="D21" s="2" t="s">
        <v>193</v>
      </c>
      <c r="E21" s="2" t="s">
        <v>53</v>
      </c>
      <c r="F21" s="2" t="s">
        <v>54</v>
      </c>
      <c r="G21" s="2" t="s">
        <v>194</v>
      </c>
      <c r="H21" s="2"/>
      <c r="I21" s="2" t="s">
        <v>32</v>
      </c>
      <c r="J21" s="9" t="s">
        <v>195</v>
      </c>
      <c r="K21" s="2" t="s">
        <v>171</v>
      </c>
      <c r="L21" s="2" t="s">
        <v>139</v>
      </c>
      <c r="M21" s="2" t="s">
        <v>36</v>
      </c>
      <c r="N21" s="2" t="s">
        <v>196</v>
      </c>
      <c r="O21" s="2" t="s">
        <v>197</v>
      </c>
      <c r="P21" s="2"/>
      <c r="Q21" s="2" t="s">
        <v>202</v>
      </c>
      <c r="R21" s="2"/>
      <c r="S21" s="2" t="s">
        <v>203</v>
      </c>
      <c r="T21" s="2" t="s">
        <v>203</v>
      </c>
      <c r="U21" s="2"/>
      <c r="V21" s="2"/>
      <c r="W21" s="2" t="s">
        <v>60</v>
      </c>
      <c r="X21" s="2" t="s">
        <v>61</v>
      </c>
      <c r="Y21" s="2" t="s">
        <v>62</v>
      </c>
    </row>
    <row r="22" ht="51" spans="1:25">
      <c r="A22" s="2" t="s">
        <v>204</v>
      </c>
      <c r="B22" s="2" t="s">
        <v>205</v>
      </c>
      <c r="C22" s="2" t="s">
        <v>167</v>
      </c>
      <c r="D22" s="2" t="s">
        <v>193</v>
      </c>
      <c r="E22" s="2" t="s">
        <v>53</v>
      </c>
      <c r="F22" s="2" t="s">
        <v>54</v>
      </c>
      <c r="G22" s="2" t="s">
        <v>194</v>
      </c>
      <c r="H22" s="2"/>
      <c r="I22" s="2" t="s">
        <v>32</v>
      </c>
      <c r="J22" s="9" t="s">
        <v>195</v>
      </c>
      <c r="K22" s="2" t="s">
        <v>171</v>
      </c>
      <c r="L22" s="2" t="s">
        <v>139</v>
      </c>
      <c r="M22" s="2" t="s">
        <v>36</v>
      </c>
      <c r="N22" s="2" t="s">
        <v>206</v>
      </c>
      <c r="O22" s="2" t="s">
        <v>197</v>
      </c>
      <c r="P22" s="2"/>
      <c r="Q22" s="2" t="s">
        <v>207</v>
      </c>
      <c r="R22" s="2"/>
      <c r="S22" s="2" t="s">
        <v>208</v>
      </c>
      <c r="T22" s="2" t="s">
        <v>208</v>
      </c>
      <c r="U22" s="2"/>
      <c r="V22" s="2"/>
      <c r="W22" s="2" t="s">
        <v>60</v>
      </c>
      <c r="X22" s="2" t="s">
        <v>61</v>
      </c>
      <c r="Y22" s="2" t="s">
        <v>62</v>
      </c>
    </row>
    <row r="23" ht="51" spans="1:25">
      <c r="A23" s="2" t="s">
        <v>209</v>
      </c>
      <c r="B23" s="2" t="s">
        <v>210</v>
      </c>
      <c r="C23" s="2" t="s">
        <v>167</v>
      </c>
      <c r="D23" s="2" t="s">
        <v>211</v>
      </c>
      <c r="E23" s="2" t="s">
        <v>53</v>
      </c>
      <c r="F23" s="2" t="s">
        <v>54</v>
      </c>
      <c r="G23" s="2" t="s">
        <v>212</v>
      </c>
      <c r="H23" s="2"/>
      <c r="I23" s="2" t="s">
        <v>32</v>
      </c>
      <c r="J23" s="9" t="s">
        <v>213</v>
      </c>
      <c r="K23" s="2" t="s">
        <v>171</v>
      </c>
      <c r="L23" s="2" t="s">
        <v>139</v>
      </c>
      <c r="M23" s="2" t="s">
        <v>36</v>
      </c>
      <c r="N23" s="2" t="s">
        <v>196</v>
      </c>
      <c r="O23" s="2" t="s">
        <v>197</v>
      </c>
      <c r="P23" s="2"/>
      <c r="Q23" s="2" t="s">
        <v>214</v>
      </c>
      <c r="R23" s="2"/>
      <c r="S23" s="2" t="s">
        <v>215</v>
      </c>
      <c r="T23" s="2" t="s">
        <v>215</v>
      </c>
      <c r="U23" s="2"/>
      <c r="V23" s="2"/>
      <c r="W23" s="2" t="s">
        <v>60</v>
      </c>
      <c r="X23" s="2" t="s">
        <v>61</v>
      </c>
      <c r="Y23" s="2" t="s">
        <v>62</v>
      </c>
    </row>
    <row r="24" ht="31" customHeight="1" spans="1:25">
      <c r="A24" s="2" t="s">
        <v>216</v>
      </c>
      <c r="B24" s="2" t="s">
        <v>217</v>
      </c>
      <c r="C24" s="2" t="s">
        <v>167</v>
      </c>
      <c r="D24" s="2" t="s">
        <v>218</v>
      </c>
      <c r="E24" s="2" t="s">
        <v>53</v>
      </c>
      <c r="F24" s="2" t="s">
        <v>54</v>
      </c>
      <c r="G24" s="2" t="s">
        <v>219</v>
      </c>
      <c r="H24" s="2"/>
      <c r="I24" s="2" t="s">
        <v>32</v>
      </c>
      <c r="J24" s="9" t="s">
        <v>220</v>
      </c>
      <c r="K24" s="2" t="s">
        <v>171</v>
      </c>
      <c r="L24" s="2" t="s">
        <v>139</v>
      </c>
      <c r="M24" s="2" t="s">
        <v>36</v>
      </c>
      <c r="N24" s="2" t="s">
        <v>196</v>
      </c>
      <c r="O24" s="2" t="s">
        <v>197</v>
      </c>
      <c r="P24" s="2"/>
      <c r="Q24" s="2" t="s">
        <v>221</v>
      </c>
      <c r="R24" s="2"/>
      <c r="S24" s="2" t="s">
        <v>222</v>
      </c>
      <c r="T24" s="2" t="s">
        <v>222</v>
      </c>
      <c r="U24" s="2"/>
      <c r="V24" s="2"/>
      <c r="W24" s="2" t="s">
        <v>60</v>
      </c>
      <c r="X24" s="2" t="s">
        <v>61</v>
      </c>
      <c r="Y24" s="2" t="s">
        <v>62</v>
      </c>
    </row>
    <row r="25" ht="46" customHeight="1" spans="1:25">
      <c r="A25" s="2" t="s">
        <v>223</v>
      </c>
      <c r="B25" s="2" t="s">
        <v>224</v>
      </c>
      <c r="C25" s="2" t="s">
        <v>178</v>
      </c>
      <c r="D25" s="2" t="s">
        <v>28</v>
      </c>
      <c r="E25" s="2" t="s">
        <v>29</v>
      </c>
      <c r="F25" s="2" t="s">
        <v>30</v>
      </c>
      <c r="G25" s="2" t="s">
        <v>31</v>
      </c>
      <c r="H25" s="2"/>
      <c r="I25" s="2" t="s">
        <v>32</v>
      </c>
      <c r="J25" s="9" t="s">
        <v>47</v>
      </c>
      <c r="K25" s="2" t="s">
        <v>34</v>
      </c>
      <c r="L25" s="2" t="s">
        <v>35</v>
      </c>
      <c r="M25" s="2" t="s">
        <v>36</v>
      </c>
      <c r="N25" s="2" t="s">
        <v>37</v>
      </c>
      <c r="O25" s="2" t="s">
        <v>38</v>
      </c>
      <c r="P25" s="2"/>
      <c r="Q25" s="2" t="s">
        <v>225</v>
      </c>
      <c r="R25" s="2"/>
      <c r="S25" s="2" t="s">
        <v>226</v>
      </c>
      <c r="T25" s="2" t="s">
        <v>226</v>
      </c>
      <c r="U25" s="2"/>
      <c r="V25" s="2"/>
      <c r="W25" s="2" t="s">
        <v>41</v>
      </c>
      <c r="X25" s="2" t="s">
        <v>42</v>
      </c>
      <c r="Y25" s="2" t="s">
        <v>43</v>
      </c>
    </row>
    <row r="26" ht="31" customHeight="1" spans="1:25">
      <c r="A26" s="2" t="s">
        <v>227</v>
      </c>
      <c r="B26" s="2" t="s">
        <v>228</v>
      </c>
      <c r="C26" s="2" t="s">
        <v>178</v>
      </c>
      <c r="D26" s="2" t="s">
        <v>229</v>
      </c>
      <c r="E26" s="2" t="s">
        <v>29</v>
      </c>
      <c r="F26" s="2" t="s">
        <v>30</v>
      </c>
      <c r="G26" s="2" t="s">
        <v>92</v>
      </c>
      <c r="H26" s="2"/>
      <c r="I26" s="2" t="s">
        <v>32</v>
      </c>
      <c r="J26" s="9" t="s">
        <v>230</v>
      </c>
      <c r="K26" s="2" t="s">
        <v>34</v>
      </c>
      <c r="L26" s="2" t="s">
        <v>84</v>
      </c>
      <c r="M26" s="2" t="s">
        <v>36</v>
      </c>
      <c r="N26" s="2" t="s">
        <v>37</v>
      </c>
      <c r="O26" s="2" t="s">
        <v>231</v>
      </c>
      <c r="P26" s="2"/>
      <c r="Q26" s="2" t="s">
        <v>232</v>
      </c>
      <c r="R26" s="2"/>
      <c r="S26" s="2" t="s">
        <v>233</v>
      </c>
      <c r="T26" s="2" t="s">
        <v>233</v>
      </c>
      <c r="U26" s="2"/>
      <c r="V26" s="2"/>
      <c r="W26" s="2" t="s">
        <v>60</v>
      </c>
      <c r="X26" s="2" t="s">
        <v>61</v>
      </c>
      <c r="Y26" s="2" t="s">
        <v>62</v>
      </c>
    </row>
    <row r="27" ht="31" customHeight="1" spans="1:25">
      <c r="A27" s="2" t="s">
        <v>234</v>
      </c>
      <c r="B27" s="7" t="s">
        <v>235</v>
      </c>
      <c r="C27" s="2" t="s">
        <v>236</v>
      </c>
      <c r="D27" s="2" t="s">
        <v>237</v>
      </c>
      <c r="E27" s="2" t="s">
        <v>29</v>
      </c>
      <c r="F27" s="2" t="s">
        <v>30</v>
      </c>
      <c r="G27" s="2" t="s">
        <v>238</v>
      </c>
      <c r="H27" s="2"/>
      <c r="I27" s="2" t="s">
        <v>32</v>
      </c>
      <c r="J27" s="10" t="s">
        <v>239</v>
      </c>
      <c r="K27" s="2" t="s">
        <v>112</v>
      </c>
      <c r="L27" s="2" t="s">
        <v>128</v>
      </c>
      <c r="M27" s="2" t="s">
        <v>36</v>
      </c>
      <c r="N27" s="2" t="s">
        <v>240</v>
      </c>
      <c r="O27" s="2" t="s">
        <v>241</v>
      </c>
      <c r="P27" s="2"/>
      <c r="Q27" s="2" t="s">
        <v>242</v>
      </c>
      <c r="R27" s="2"/>
      <c r="S27" s="2" t="s">
        <v>243</v>
      </c>
      <c r="T27" s="2" t="s">
        <v>243</v>
      </c>
      <c r="U27" s="2"/>
      <c r="V27" s="2"/>
      <c r="W27" s="2" t="s">
        <v>60</v>
      </c>
      <c r="X27" s="2" t="s">
        <v>61</v>
      </c>
      <c r="Y27" s="2" t="s">
        <v>62</v>
      </c>
    </row>
    <row r="28" ht="31" customHeight="1" spans="1:25">
      <c r="A28" s="2" t="s">
        <v>244</v>
      </c>
      <c r="B28" s="7" t="s">
        <v>245</v>
      </c>
      <c r="C28" s="2" t="s">
        <v>236</v>
      </c>
      <c r="D28" s="2" t="s">
        <v>237</v>
      </c>
      <c r="E28" s="2" t="s">
        <v>29</v>
      </c>
      <c r="F28" s="2" t="s">
        <v>30</v>
      </c>
      <c r="G28" s="2" t="s">
        <v>238</v>
      </c>
      <c r="H28" s="2"/>
      <c r="I28" s="2" t="s">
        <v>32</v>
      </c>
      <c r="J28" s="9" t="s">
        <v>239</v>
      </c>
      <c r="K28" s="2" t="s">
        <v>112</v>
      </c>
      <c r="L28" s="2" t="s">
        <v>128</v>
      </c>
      <c r="M28" s="2" t="s">
        <v>36</v>
      </c>
      <c r="N28" s="2" t="s">
        <v>246</v>
      </c>
      <c r="O28" s="2" t="s">
        <v>241</v>
      </c>
      <c r="P28" s="2"/>
      <c r="Q28" s="2" t="s">
        <v>247</v>
      </c>
      <c r="R28" s="2"/>
      <c r="S28" s="2" t="s">
        <v>248</v>
      </c>
      <c r="T28" s="2" t="s">
        <v>248</v>
      </c>
      <c r="U28" s="2"/>
      <c r="V28" s="2"/>
      <c r="W28" s="2" t="s">
        <v>60</v>
      </c>
      <c r="X28" s="2" t="s">
        <v>61</v>
      </c>
      <c r="Y28" s="2" t="s">
        <v>62</v>
      </c>
    </row>
    <row r="29" ht="31" customHeight="1" spans="1:25">
      <c r="A29" s="2" t="s">
        <v>249</v>
      </c>
      <c r="B29" s="2" t="s">
        <v>250</v>
      </c>
      <c r="C29" s="2" t="s">
        <v>236</v>
      </c>
      <c r="D29" s="2" t="s">
        <v>237</v>
      </c>
      <c r="E29" s="2" t="s">
        <v>53</v>
      </c>
      <c r="F29" s="2" t="s">
        <v>54</v>
      </c>
      <c r="G29" s="2" t="s">
        <v>238</v>
      </c>
      <c r="H29" s="2"/>
      <c r="I29" s="2" t="s">
        <v>32</v>
      </c>
      <c r="J29" s="9" t="s">
        <v>239</v>
      </c>
      <c r="K29" s="2" t="s">
        <v>112</v>
      </c>
      <c r="L29" s="2" t="s">
        <v>128</v>
      </c>
      <c r="M29" s="2" t="s">
        <v>36</v>
      </c>
      <c r="N29" s="2" t="s">
        <v>240</v>
      </c>
      <c r="O29" s="2" t="s">
        <v>241</v>
      </c>
      <c r="P29" s="2"/>
      <c r="Q29" s="2" t="s">
        <v>251</v>
      </c>
      <c r="R29" s="2"/>
      <c r="S29" s="2" t="s">
        <v>252</v>
      </c>
      <c r="T29" s="2" t="s">
        <v>252</v>
      </c>
      <c r="U29" s="2"/>
      <c r="V29" s="2"/>
      <c r="W29" s="2" t="s">
        <v>60</v>
      </c>
      <c r="X29" s="2" t="s">
        <v>61</v>
      </c>
      <c r="Y29" s="2" t="s">
        <v>62</v>
      </c>
    </row>
    <row r="30" ht="51" spans="1:25">
      <c r="A30" s="2" t="s">
        <v>253</v>
      </c>
      <c r="B30" s="2" t="s">
        <v>254</v>
      </c>
      <c r="C30" s="2" t="s">
        <v>255</v>
      </c>
      <c r="D30" s="2" t="s">
        <v>256</v>
      </c>
      <c r="E30" s="2" t="s">
        <v>29</v>
      </c>
      <c r="F30" s="2" t="s">
        <v>30</v>
      </c>
      <c r="G30" s="2" t="s">
        <v>257</v>
      </c>
      <c r="H30" s="2"/>
      <c r="I30" s="2" t="s">
        <v>32</v>
      </c>
      <c r="J30" s="9" t="s">
        <v>258</v>
      </c>
      <c r="K30" s="2" t="s">
        <v>34</v>
      </c>
      <c r="L30" s="2" t="s">
        <v>35</v>
      </c>
      <c r="M30" s="2" t="s">
        <v>36</v>
      </c>
      <c r="N30" s="2" t="s">
        <v>37</v>
      </c>
      <c r="O30" s="2" t="s">
        <v>38</v>
      </c>
      <c r="P30" s="2"/>
      <c r="Q30" s="2" t="s">
        <v>259</v>
      </c>
      <c r="R30" s="2"/>
      <c r="S30" s="2" t="s">
        <v>260</v>
      </c>
      <c r="T30" s="2" t="s">
        <v>260</v>
      </c>
      <c r="U30" s="2"/>
      <c r="V30" s="2"/>
      <c r="W30" s="2" t="s">
        <v>41</v>
      </c>
      <c r="X30" s="2" t="s">
        <v>42</v>
      </c>
      <c r="Y30" s="2" t="s">
        <v>43</v>
      </c>
    </row>
    <row r="31" ht="51" spans="1:25">
      <c r="A31" s="2" t="s">
        <v>261</v>
      </c>
      <c r="B31" s="2" t="s">
        <v>262</v>
      </c>
      <c r="C31" s="2" t="s">
        <v>255</v>
      </c>
      <c r="D31" s="2" t="s">
        <v>263</v>
      </c>
      <c r="E31" s="2" t="s">
        <v>29</v>
      </c>
      <c r="F31" s="2" t="s">
        <v>30</v>
      </c>
      <c r="G31" s="2" t="s">
        <v>257</v>
      </c>
      <c r="H31" s="2"/>
      <c r="I31" s="2" t="s">
        <v>32</v>
      </c>
      <c r="J31" s="9" t="s">
        <v>264</v>
      </c>
      <c r="K31" s="2" t="s">
        <v>34</v>
      </c>
      <c r="L31" s="2" t="s">
        <v>265</v>
      </c>
      <c r="M31" s="2" t="s">
        <v>36</v>
      </c>
      <c r="N31" s="2" t="s">
        <v>37</v>
      </c>
      <c r="O31" s="2" t="s">
        <v>266</v>
      </c>
      <c r="P31" s="2"/>
      <c r="Q31" s="2" t="s">
        <v>267</v>
      </c>
      <c r="R31" s="2"/>
      <c r="S31" s="2" t="s">
        <v>268</v>
      </c>
      <c r="T31" s="2" t="s">
        <v>268</v>
      </c>
      <c r="U31" s="2"/>
      <c r="V31" s="2"/>
      <c r="W31" s="2" t="s">
        <v>41</v>
      </c>
      <c r="X31" s="2" t="s">
        <v>42</v>
      </c>
      <c r="Y31" s="2" t="s">
        <v>43</v>
      </c>
    </row>
  </sheetData>
  <autoFilter xmlns:etc="http://www.wps.cn/officeDocument/2017/etCustomData" ref="A1:M31" etc:filterBottomFollowUsedRange="0">
    <extLst/>
  </autoFilter>
  <dataValidations count="2">
    <dataValidation type="list" sqref="C2:C29 C30:C31 C32:C230">
      <formula1>"法规政策,官方报告,研究报告,调查报告,新闻报道,案例,贸易数据,数据库"</formula1>
    </dataValidation>
    <dataValidation type="list" sqref="H2:H29 H30:H31 H32:H230">
      <formula1>"S,A+,A,B+,B,C,D"</formula1>
    </dataValidation>
  </dataValidations>
  <hyperlinks>
    <hyperlink ref="J2" r:id="rId1" display="https://www.federalregister.gov/documents/2025/09/30/2025-19001/expansion-of-end-user-controls-to-cover-affiliates-of-certain-listed-entities"/>
    <hyperlink ref="J3" r:id="rId2" display="https://www.federalregister.gov/documents/2025/11/12/2025-19846/one-year-suspension-of-expansion-of-end-user-controls-for-affiliates-of-certain-listed-entities"/>
    <hyperlink ref="J4" r:id="rId3" display="https://www.gov.cn/gongbao/2026/issue_12786/202606/content_7071618.html"/>
    <hyperlink ref="J5" r:id="rId4" display="https://www.mofcom.gov.cn/zwgk/zcfb/art/2025/art_c03d1e511b2b486e829d68e8f1422aff.html"/>
    <hyperlink ref="J10" r:id="rId5" display="https://www.weforum.org/publications/global-risks-report-2026"/>
    <hyperlink ref="J11" r:id="rId6" display="https://unctad.org/publication/world-investment-report-2026"/>
    <hyperlink ref="J13" r:id="rId7" display="https://kpmg.com/us/en/articles/2026/2026-supply-chain-survey.html"/>
    <hyperlink ref="J15" r:id="rId8" display="https://www.csis.org/analysis/visibility-gap-how-ai-can-stop-chinese-transshipment-under-usmca"/>
    <hyperlink ref="J17" r:id="rId9" display="https://www.bnnbloomberg.ca/business/international/2026/09/14/companies-left-china-to-dodge-tariffs-now-some-are-heading-back/"/>
    <hyperlink ref="J18" r:id="rId10" display="https://www.whitecase.com/insight-alert/us-department-commerce-determines-imports-southeast-asia-are-circumventing-addcvd"/>
    <hyperlink ref="J19" r:id="rId11" display="https://www.internationaltradeinsights.com/2023/08/commerce-issues-final-determination-on-circumvention-of-solar-cells-and-modules-from-cambodia-malaysia-thailand-and-vietnam/"/>
    <hyperlink ref="J20" r:id="rId12" display="https://news.qq.com/rain/a/20251130A04A7P00"/>
    <hyperlink ref="J21" r:id="rId12" display="https://news.qq.com/rain/a/20251130A04A7P00"/>
    <hyperlink ref="J22" r:id="rId12" display="https://news.qq.com/rain/a/20251130A04A7P00"/>
    <hyperlink ref="J23" r:id="rId13" display="https://www.c114.com.cn/other/241/a1307528.html"/>
    <hyperlink ref="J24" r:id="rId14" display="https://www.chnfund.com/article/AR9cf00569-dbe0-1615-0b4f-3a13c37ad423"/>
    <hyperlink ref="J25" r:id="rId2" display="https://www.federalregister.gov/documents/2025/11/12/2025-19846/one-year-suspension-of-expansion-of-end-user-controls-for-affiliates-of-certain-listed-entities"/>
    <hyperlink ref="J26" r:id="rId15" display="https://www.alvarezandmarsal.com/node/97806"/>
    <hyperlink ref="J27" r:id="rId16" display="https://comtradeplus.un.org"/>
    <hyperlink ref="J28" r:id="rId16" display="https://comtradeplus.un.org"/>
    <hyperlink ref="J29" r:id="rId16" display="https://comtradeplus.un.org"/>
    <hyperlink ref="J30" r:id="rId17" display="https://www.trade.gov/consolidated-screening-list"/>
    <hyperlink ref="J31" r:id="rId18" display="https://www.federalregister.gov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1"/>
    </sheetView>
  </sheetViews>
  <sheetFormatPr defaultColWidth="8.6796875" defaultRowHeight="16.8" outlineLevelCol="2"/>
  <cols>
    <col min="1" max="3" width="20" customWidth="1"/>
  </cols>
  <sheetData>
    <row r="1" ht="17" customHeight="1" spans="1:3">
      <c r="A1" s="3" t="s">
        <v>269</v>
      </c>
      <c r="B1" s="3" t="s">
        <v>270</v>
      </c>
      <c r="C1" s="3" t="s">
        <v>271</v>
      </c>
    </row>
    <row r="2" ht="61" spans="1:3">
      <c r="A2" s="4" t="s">
        <v>272</v>
      </c>
      <c r="B2" s="5" t="s">
        <v>273</v>
      </c>
      <c r="C2" s="5" t="s">
        <v>274</v>
      </c>
    </row>
    <row r="3" ht="31" spans="1:3">
      <c r="A3" s="5" t="s">
        <v>275</v>
      </c>
      <c r="B3" s="5" t="s">
        <v>276</v>
      </c>
      <c r="C3" s="5" t="s">
        <v>277</v>
      </c>
    </row>
    <row r="4" ht="61" spans="1:3">
      <c r="A4" s="4" t="s">
        <v>2</v>
      </c>
      <c r="B4" s="5" t="s">
        <v>278</v>
      </c>
      <c r="C4" s="5" t="s">
        <v>279</v>
      </c>
    </row>
    <row r="5" ht="31" spans="1:3">
      <c r="A5" s="5" t="s">
        <v>280</v>
      </c>
      <c r="B5" s="5" t="s">
        <v>281</v>
      </c>
      <c r="C5" s="5" t="s">
        <v>282</v>
      </c>
    </row>
    <row r="6" spans="1:3">
      <c r="A6" s="5" t="s">
        <v>283</v>
      </c>
      <c r="B6" s="5" t="s">
        <v>284</v>
      </c>
      <c r="C6" s="5" t="s">
        <v>285</v>
      </c>
    </row>
    <row r="7" ht="46" spans="1:3">
      <c r="A7" s="4" t="s">
        <v>6</v>
      </c>
      <c r="B7" s="5" t="s">
        <v>286</v>
      </c>
      <c r="C7" s="4" t="s">
        <v>287</v>
      </c>
    </row>
    <row r="8" ht="46" spans="1:3">
      <c r="A8" s="5" t="s">
        <v>288</v>
      </c>
      <c r="B8" s="5" t="s">
        <v>289</v>
      </c>
      <c r="C8" s="5" t="s">
        <v>290</v>
      </c>
    </row>
    <row r="9" ht="31" customHeight="1" spans="1:3">
      <c r="A9" s="4" t="s">
        <v>10</v>
      </c>
      <c r="B9" s="5" t="s">
        <v>291</v>
      </c>
      <c r="C9" s="4" t="s">
        <v>292</v>
      </c>
    </row>
    <row r="10" ht="61" spans="1:3">
      <c r="A10" s="5" t="s">
        <v>293</v>
      </c>
      <c r="B10" s="5" t="s">
        <v>294</v>
      </c>
      <c r="C10" s="5" t="s">
        <v>295</v>
      </c>
    </row>
    <row r="11" ht="46" spans="1:3">
      <c r="A11" s="4" t="s">
        <v>16</v>
      </c>
      <c r="B11" s="5" t="s">
        <v>296</v>
      </c>
      <c r="C11" s="4" t="s">
        <v>297</v>
      </c>
    </row>
    <row r="12" ht="46" spans="1:3">
      <c r="A12" s="4" t="s">
        <v>298</v>
      </c>
      <c r="B12" s="5" t="s">
        <v>299</v>
      </c>
      <c r="C12" s="5" t="s">
        <v>300</v>
      </c>
    </row>
    <row r="13" ht="61" spans="1:3">
      <c r="A13" s="4" t="s">
        <v>301</v>
      </c>
      <c r="B13" s="5" t="s">
        <v>302</v>
      </c>
      <c r="C13" s="5" t="s">
        <v>303</v>
      </c>
    </row>
    <row r="14" ht="31" spans="1:3">
      <c r="A14" s="5" t="s">
        <v>304</v>
      </c>
      <c r="B14" s="5" t="s">
        <v>305</v>
      </c>
      <c r="C14" s="5" t="s">
        <v>306</v>
      </c>
    </row>
    <row r="15" spans="1:3">
      <c r="A15" s="4"/>
      <c r="B15" s="4"/>
      <c r="C15" s="4"/>
    </row>
    <row r="16" ht="17" customHeight="1" spans="1:3">
      <c r="A16" s="6" t="s">
        <v>307</v>
      </c>
      <c r="B16" s="4"/>
      <c r="C16" s="4"/>
    </row>
    <row r="17" spans="1:3">
      <c r="A17" s="5" t="s">
        <v>308</v>
      </c>
      <c r="B17" s="4">
        <f>COUNTA(sources!A2:A495)</f>
        <v>30</v>
      </c>
      <c r="C17" s="4"/>
    </row>
    <row r="18" spans="1:3">
      <c r="A18" s="5" t="s">
        <v>309</v>
      </c>
      <c r="B18" s="4">
        <f>COUNTIF(sources!C2:C495,"法规政策")+COUNTIF(sources!C2:C495,"官方报告")</f>
        <v>8</v>
      </c>
      <c r="C18" s="4"/>
    </row>
    <row r="19" spans="1:3">
      <c r="A19" s="5" t="s">
        <v>310</v>
      </c>
      <c r="B19" s="4">
        <f>COUNTIF(sources!C2:C495,"研究报告")+COUNTIF(sources!C2:C495,"调查报告")</f>
        <v>7</v>
      </c>
      <c r="C19" s="4"/>
    </row>
    <row r="20" spans="1:3">
      <c r="A20" s="5" t="s">
        <v>311</v>
      </c>
      <c r="B20" s="4">
        <f>COUNTIF(sources!A2:A495,"CASE_*")</f>
        <v>10</v>
      </c>
      <c r="C20" s="4"/>
    </row>
    <row r="21" spans="1:3">
      <c r="A21" s="5" t="s">
        <v>312</v>
      </c>
      <c r="B21" s="4">
        <f>COUNTIF(sources!C2:C495,"贸易数据")</f>
        <v>3</v>
      </c>
      <c r="C21" s="4"/>
    </row>
    <row r="22" spans="1:3">
      <c r="A22" s="5" t="s">
        <v>313</v>
      </c>
      <c r="B22" s="4">
        <f>COUNTIF(sources!C2:C495,"数据库")</f>
        <v>2</v>
      </c>
      <c r="C22" s="4"/>
    </row>
    <row r="23" spans="1:3">
      <c r="A23" s="4" t="s">
        <v>314</v>
      </c>
      <c r="B23" s="4">
        <f>COUNTIF(sources!H2:H495,"S")</f>
        <v>0</v>
      </c>
      <c r="C23" s="4"/>
    </row>
    <row r="24" spans="1:3">
      <c r="A24" s="5" t="s">
        <v>315</v>
      </c>
      <c r="B24" s="4">
        <f>COUNTIF(sources!L2:L495,"待*")</f>
        <v>0</v>
      </c>
      <c r="C24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6.8" outlineLevelCol="2"/>
  <cols>
    <col min="1" max="3" width="20" customWidth="1"/>
  </cols>
  <sheetData>
    <row r="1" ht="17" spans="1:3">
      <c r="A1" s="3" t="s">
        <v>316</v>
      </c>
      <c r="B1" s="3" t="s">
        <v>317</v>
      </c>
      <c r="C1" s="3" t="s">
        <v>318</v>
      </c>
    </row>
    <row r="2" ht="34" spans="1:3">
      <c r="A2" s="2" t="s">
        <v>0</v>
      </c>
      <c r="B2" s="2" t="s">
        <v>319</v>
      </c>
      <c r="C2" s="2" t="s">
        <v>320</v>
      </c>
    </row>
    <row r="3" ht="34" spans="1:3">
      <c r="A3" s="2" t="s">
        <v>4</v>
      </c>
      <c r="B3" s="2" t="s">
        <v>321</v>
      </c>
      <c r="C3" s="2" t="s">
        <v>322</v>
      </c>
    </row>
    <row r="4" ht="34" spans="1:3">
      <c r="A4" s="2" t="s">
        <v>5</v>
      </c>
      <c r="B4" s="2" t="s">
        <v>323</v>
      </c>
      <c r="C4" s="2" t="s">
        <v>324</v>
      </c>
    </row>
    <row r="5" ht="17" spans="1:3">
      <c r="A5" s="2" t="s">
        <v>6</v>
      </c>
      <c r="B5" s="2" t="s">
        <v>286</v>
      </c>
      <c r="C5" s="2" t="s">
        <v>325</v>
      </c>
    </row>
    <row r="6" ht="34" spans="1:3">
      <c r="A6" s="2" t="s">
        <v>7</v>
      </c>
      <c r="B6" s="2" t="s">
        <v>326</v>
      </c>
      <c r="C6" s="2" t="s">
        <v>327</v>
      </c>
    </row>
    <row r="7" ht="51" spans="1:3">
      <c r="A7" s="2" t="s">
        <v>8</v>
      </c>
      <c r="B7" s="2" t="s">
        <v>328</v>
      </c>
      <c r="C7" s="2" t="s">
        <v>329</v>
      </c>
    </row>
    <row r="8" ht="17" spans="1:3">
      <c r="A8" s="2" t="s">
        <v>10</v>
      </c>
      <c r="B8" s="2" t="s">
        <v>330</v>
      </c>
      <c r="C8" s="2" t="s">
        <v>331</v>
      </c>
    </row>
    <row r="9" ht="17" spans="1:3">
      <c r="A9" s="2" t="s">
        <v>15</v>
      </c>
      <c r="B9" s="2" t="s">
        <v>332</v>
      </c>
      <c r="C9" s="2" t="s">
        <v>333</v>
      </c>
    </row>
    <row r="10" ht="17" spans="1:3">
      <c r="A10" s="2" t="s">
        <v>19</v>
      </c>
      <c r="B10" s="2" t="s">
        <v>334</v>
      </c>
      <c r="C10" s="2" t="s">
        <v>335</v>
      </c>
    </row>
    <row r="11" ht="34" spans="1:3">
      <c r="A11" s="2" t="s">
        <v>20</v>
      </c>
      <c r="B11" s="2" t="s">
        <v>336</v>
      </c>
      <c r="C11" s="2" t="s">
        <v>337</v>
      </c>
    </row>
    <row r="12" ht="17" spans="1:3">
      <c r="A12" s="2" t="s">
        <v>21</v>
      </c>
      <c r="B12" s="2" t="s">
        <v>338</v>
      </c>
      <c r="C12" s="2" t="s">
        <v>339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cols>
    <col min="1" max="2" width="20" customWidth="1"/>
  </cols>
  <sheetData>
    <row r="1" ht="17" spans="1:2">
      <c r="A1" s="1" t="s">
        <v>340</v>
      </c>
      <c r="B1" s="1" t="s">
        <v>341</v>
      </c>
    </row>
    <row r="2" ht="68" spans="1:2">
      <c r="A2" s="2" t="s">
        <v>42</v>
      </c>
      <c r="B2" s="2" t="s">
        <v>342</v>
      </c>
    </row>
    <row r="3" ht="34" spans="1:2">
      <c r="A3" s="2" t="s">
        <v>61</v>
      </c>
      <c r="B3" s="2" t="s">
        <v>343</v>
      </c>
    </row>
    <row r="4" ht="34" spans="1:2">
      <c r="A4" s="2" t="s">
        <v>344</v>
      </c>
      <c r="B4" s="2" t="s">
        <v>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sources</vt:lpstr>
      <vt:lpstr>说明</vt:lpstr>
      <vt:lpstr>schema</vt:lpstr>
      <vt:lpstr>screening_rules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郑媛元</cp:lastModifiedBy>
  <cp:revision>0</cp:revision>
  <dcterms:created xsi:type="dcterms:W3CDTF">2026-09-20T22:50:00Z</dcterms:created>
  <dcterms:modified xsi:type="dcterms:W3CDTF">2026-09-25T00:24:09Z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43D47E58D11EB75B7949B26A6D1D1E48_43</vt:lpwstr>
  </property>
  <property fmtid="{D5CDD505-2E9C-101B-9397-08002B2CF9AE}" pid="3" name="KSOProductBuildVer">
    <vt:lpwstr>2052-12.1.22553.22553</vt:lpwstr>
  </property>
</Properties>
</file>