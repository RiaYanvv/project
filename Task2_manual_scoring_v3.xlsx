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Scoring'!$A$1:$Q$151</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CASE_003</t>
        </is>
      </c>
      <c r="D9" s="2" t="inlineStr">
        <is>
          <t>同一反规避调查中被认定“未规避”的企业（Hanwha、Jinko马来西亚、Boviet越南）</t>
        </is>
      </c>
      <c r="E9" s="2" t="inlineStr">
        <is>
          <t>反规避</t>
        </is>
      </c>
      <c r="F9" s="2" t="inlineStr">
        <is>
          <t>S</t>
        </is>
      </c>
      <c r="G9" s="2" t="n">
        <v>0</v>
      </c>
      <c r="H9" s="2" t="n">
        <v>2</v>
      </c>
      <c r="I9" s="3" t="n">
        <v>2</v>
      </c>
      <c r="J9" s="3" t="n">
        <v>2</v>
      </c>
      <c r="K9" s="2" t="inlineStr">
        <is>
          <t>美国商务部反规避认定（含马来西亚企业），直接反映美方对马来西亚原产地的官方判断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0">
      <c r="A10" s="2" t="inlineStr">
        <is>
          <t>Q002</t>
        </is>
      </c>
      <c r="B10" s="2" t="n">
        <v>4</v>
      </c>
      <c r="C10" s="2" t="inlineStr">
        <is>
          <t>CASE_002</t>
        </is>
      </c>
      <c r="D10" s="2" t="inlineStr">
        <is>
          <t>美国对东南亚四国光伏产品反规避认定：视为中国原产并适用对华双反</t>
        </is>
      </c>
      <c r="E10" s="2" t="inlineStr">
        <is>
          <t>反规避</t>
        </is>
      </c>
      <c r="F10" s="2" t="inlineStr">
        <is>
          <t>S</t>
        </is>
      </c>
      <c r="G10" s="2" t="n">
        <v>0</v>
      </c>
      <c r="H10" s="2" t="n">
        <v>2</v>
      </c>
      <c r="I10" s="3" t="n">
        <v>2</v>
      </c>
      <c r="J10" s="3" t="n">
        <v>2</v>
      </c>
      <c r="K10" s="2" t="inlineStr">
        <is>
          <t>美国商务部认定东南亚四国光伏视为中国原产，直接反映美方对马来西亚原产地的官方判断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
      <c r="A11" s="2" t="inlineStr">
        <is>
          <t>Q002</t>
        </is>
      </c>
      <c r="B11" s="2" t="n">
        <v>5</v>
      </c>
      <c r="C11" s="2" t="inlineStr">
        <is>
          <t>TRD_003</t>
        </is>
      </c>
      <c r="D11" s="2" t="inlineStr">
        <is>
          <t>中国对越南、泰国、马来西亚出口 HS 8541/8542（中间品），2018–2025年度</t>
        </is>
      </c>
      <c r="E11" s="2" t="inlineStr">
        <is>
          <t>贸易流</t>
        </is>
      </c>
      <c r="F11" s="2" t="inlineStr">
        <is>
          <t>A+</t>
        </is>
      </c>
      <c r="G11" s="2" t="n">
        <v>1</v>
      </c>
      <c r="H11" s="2" t="n">
        <v>2</v>
      </c>
      <c r="I11" s="3" t="n">
        <v>1</v>
      </c>
      <c r="J11" s="3" t="n">
        <v>2</v>
      </c>
      <c r="K11" s="2" t="inlineStr">
        <is>
          <t>中国对马/越/泰中间品出口数据，间接支持企业马来西亚布局判断</t>
        </is>
      </c>
      <c r="L11" s="2" t="inlineStr">
        <is>
          <t>联合国商品贸易统计数据库（UN Comtrade）</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CASE_006</t>
        </is>
      </c>
      <c r="D15" s="2" t="inlineStr">
        <is>
          <t>天孚通信：泰国一期投产、二期2025年投入使用</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CASE_004</t>
        </is>
      </c>
      <c r="D16" s="2" t="inlineStr">
        <is>
          <t>中际旭创：泰国工厂产能与国内基本齐平</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CASE_010</t>
        </is>
      </c>
      <c r="D25" s="2" t="inlineStr">
        <is>
          <t>白宫点名东南亚为非法转运高风险地区，并推出AI执法工具</t>
        </is>
      </c>
      <c r="E25" s="2" t="inlineStr">
        <is>
          <t>原产地与转运</t>
        </is>
      </c>
      <c r="F25" s="2" t="inlineStr">
        <is>
          <t>S</t>
        </is>
      </c>
      <c r="G25" s="2" t="n">
        <v>2</v>
      </c>
      <c r="H25" s="2" t="n">
        <v>2</v>
      </c>
      <c r="I25" s="3" t="n">
        <v>2</v>
      </c>
      <c r="J25" s="3" t="n">
        <v>2</v>
      </c>
      <c r="K25" s="2" t="inlineStr">
        <is>
          <t>白宫点名东南亚转运高风险并推AI执法，直接说明认定规避的官方立场</t>
        </is>
      </c>
      <c r="L25" s="2" t="inlineStr">
        <is>
          <t>美国白宫（经律所解读）</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26">
      <c r="A26" s="2" t="inlineStr">
        <is>
          <t>Q005</t>
        </is>
      </c>
      <c r="B26" s="2" t="n">
        <v>5</v>
      </c>
      <c r="C26" s="2" t="inlineStr">
        <is>
          <t>CASE_001</t>
        </is>
      </c>
      <c r="D26" s="2" t="inlineStr">
        <is>
          <t>Dawang Metals：客户订单转移印度后回流，企业放弃海外建厂</t>
        </is>
      </c>
      <c r="E26" s="2" t="inlineStr">
        <is>
          <t>供应链布局</t>
        </is>
      </c>
      <c r="F26" s="2" t="inlineStr">
        <is>
          <t>B+</t>
        </is>
      </c>
      <c r="G26" s="2" t="n">
        <v>1</v>
      </c>
      <c r="H26" s="2" t="n">
        <v>1</v>
      </c>
      <c r="I26" s="3" t="n">
        <v>0</v>
      </c>
      <c r="J26" s="3" t="n">
        <v>1</v>
      </c>
      <c r="K26" s="2" t="inlineStr">
        <is>
          <t>印度订单回流案例，与规避/未规避认定无关 ｜ 人工判定与Auto(1)不同，请复核</t>
        </is>
      </c>
      <c r="L26" s="2" t="inlineStr">
        <is>
          <t>路透社（Reuters）</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27">
      <c r="A27" s="2" t="inlineStr">
        <is>
          <t>Q006</t>
        </is>
      </c>
      <c r="B27" s="2" t="n">
        <v>1</v>
      </c>
      <c r="C27" s="2" t="inlineStr">
        <is>
          <t>BIS_001</t>
        </is>
      </c>
      <c r="D27" s="2" t="inlineStr">
        <is>
          <t>Expansion of End-User Controls to Cover Affiliates of Certain Listed Entities（关联企业规则 / 50%穿透规则，临时最终规则）</t>
        </is>
      </c>
      <c r="E27" s="2" t="inlineStr">
        <is>
          <t>出口管制</t>
        </is>
      </c>
      <c r="F27" s="2" t="inlineStr">
        <is>
          <t>S</t>
        </is>
      </c>
      <c r="G27" s="2" t="n">
        <v>2</v>
      </c>
      <c r="H27" s="2" t="n">
        <v>2</v>
      </c>
      <c r="I27" s="3" t="n">
        <v>2</v>
      </c>
      <c r="J27" s="3" t="n">
        <v>2</v>
      </c>
      <c r="K27" s="2" t="inlineStr">
        <is>
          <t>50%穿透规则原文，直接回答美方规则</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8">
      <c r="A28" s="2" t="inlineStr">
        <is>
          <t>Q006</t>
        </is>
      </c>
      <c r="B28" s="2" t="n">
        <v>2</v>
      </c>
      <c r="C28" s="2" t="inlineStr">
        <is>
          <t>BIS_002</t>
        </is>
      </c>
      <c r="D28" s="2" t="inlineStr">
        <is>
          <t>One Year Suspension of Expansion of End-User Controls for Affiliates of Certain Listed Entities（关联企业规则暂停一年）</t>
        </is>
      </c>
      <c r="E28" s="2" t="inlineStr">
        <is>
          <t>出口管制</t>
        </is>
      </c>
      <c r="F28" s="2" t="inlineStr">
        <is>
          <t>S</t>
        </is>
      </c>
      <c r="G28" s="2" t="n">
        <v>2</v>
      </c>
      <c r="H28" s="2" t="n">
        <v>2</v>
      </c>
      <c r="I28" s="3" t="n">
        <v>2</v>
      </c>
      <c r="J28" s="3" t="n">
        <v>2</v>
      </c>
      <c r="K28" s="2" t="inlineStr">
        <is>
          <t>暂停令，直接回答暂停措施</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9">
      <c r="A29" s="2" t="inlineStr">
        <is>
          <t>Q006</t>
        </is>
      </c>
      <c r="B29" s="2" t="n">
        <v>3</v>
      </c>
      <c r="C29" s="2" t="inlineStr">
        <is>
          <t>MOFCOM_001</t>
        </is>
      </c>
      <c r="D29" s="2" t="inlineStr">
        <is>
          <t>2026年度《两用物项和技术进出口许可证管理目录》</t>
        </is>
      </c>
      <c r="E29" s="2" t="inlineStr">
        <is>
          <t>出口管制</t>
        </is>
      </c>
      <c r="F29" s="2" t="inlineStr">
        <is>
          <t>S</t>
        </is>
      </c>
      <c r="G29" s="2" t="n">
        <v>2</v>
      </c>
      <c r="H29" s="2" t="n">
        <v>2</v>
      </c>
      <c r="I29" s="3" t="n">
        <v>2</v>
      </c>
      <c r="J29" s="3" t="n">
        <v>2</v>
      </c>
      <c r="K29" s="2" t="inlineStr">
        <is>
          <t>中国两用物项目录，直接回答核查范围</t>
        </is>
      </c>
      <c r="L29" s="2" t="inlineStr">
        <is>
          <t>商务部、海关总署</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MOFCOM_002</t>
        </is>
      </c>
      <c r="D31" s="2" t="inlineStr">
        <is>
          <t>商务部公告2025年第72号（暂停实施2024年第46号公告第二款，涉及对美两用物项出口管制）</t>
        </is>
      </c>
      <c r="E31" s="2" t="inlineStr">
        <is>
          <t>出口管制</t>
        </is>
      </c>
      <c r="F31" s="2" t="inlineStr">
        <is>
          <t>S</t>
        </is>
      </c>
      <c r="G31" s="2" t="n">
        <v>2</v>
      </c>
      <c r="H31" s="2" t="n">
        <v>2</v>
      </c>
      <c r="I31" s="3" t="n">
        <v>2</v>
      </c>
      <c r="J31" s="3" t="n">
        <v>2</v>
      </c>
      <c r="K31" s="2" t="inlineStr">
        <is>
          <t>暂停措施涉及镓、锗、石墨，直接回答</t>
        </is>
      </c>
      <c r="L31" s="2" t="inlineStr">
        <is>
          <t>商务部</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FR_001</t>
        </is>
      </c>
      <c r="D36" s="2" t="inlineStr">
        <is>
          <t>Federal Register API（美国联邦公报）</t>
        </is>
      </c>
      <c r="E36" s="2" t="inlineStr">
        <is>
          <t>出口管制/关税</t>
        </is>
      </c>
      <c r="F36" s="2" t="inlineStr">
        <is>
          <t>S</t>
        </is>
      </c>
      <c r="G36" s="2" t="n">
        <v>1</v>
      </c>
      <c r="H36" s="2" t="n">
        <v>2</v>
      </c>
      <c r="I36" s="3" t="n">
        <v>1</v>
      </c>
      <c r="J36" s="3" t="n">
        <v>2</v>
      </c>
      <c r="K36" s="2" t="inlineStr">
        <is>
          <t>新规监测入口，非穿透判断本身</t>
        </is>
      </c>
      <c r="L36" s="2" t="inlineStr">
        <is>
          <t>美国国家档案馆联邦公报办公室</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ITA_001</t>
        </is>
      </c>
      <c r="D40" s="2" t="inlineStr">
        <is>
          <t>Consolidated Screening List API（美国合并筛查清单）</t>
        </is>
      </c>
      <c r="E40" s="2" t="inlineStr">
        <is>
          <t>出口管制</t>
        </is>
      </c>
      <c r="F40" s="2" t="inlineStr">
        <is>
          <t>S</t>
        </is>
      </c>
      <c r="G40" s="2" t="n">
        <v>1</v>
      </c>
      <c r="H40" s="2" t="n">
        <v>2</v>
      </c>
      <c r="I40" s="3" t="n">
        <v>1</v>
      </c>
      <c r="J40" s="3" t="n">
        <v>2</v>
      </c>
      <c r="K40" s="2" t="inlineStr">
        <is>
          <t>筛查数据源，对窗口风险为辅助</t>
        </is>
      </c>
      <c r="L40" s="2" t="inlineStr">
        <is>
          <t>美国国际贸易管理局（ITA）</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41">
      <c r="A41" s="2" t="inlineStr">
        <is>
          <t>Q008</t>
        </is>
      </c>
      <c r="B41" s="2" t="n">
        <v>5</v>
      </c>
      <c r="C41" s="2" t="inlineStr">
        <is>
          <t>MOFCOM_002</t>
        </is>
      </c>
      <c r="D41" s="2" t="inlineStr">
        <is>
          <t>商务部公告2025年第72号（暂停实施2024年第46号公告第二款，涉及对美两用物项出口管制）</t>
        </is>
      </c>
      <c r="E41" s="2" t="inlineStr">
        <is>
          <t>出口管制</t>
        </is>
      </c>
      <c r="F41" s="2" t="inlineStr">
        <is>
          <t>S</t>
        </is>
      </c>
      <c r="G41" s="2" t="n">
        <v>1</v>
      </c>
      <c r="H41" s="2" t="n">
        <v>2</v>
      </c>
      <c r="I41" s="3" t="n">
        <v>1</v>
      </c>
      <c r="J41" s="3" t="n">
        <v>2</v>
      </c>
      <c r="K41" s="2" t="inlineStr">
        <is>
          <t>中国侧暂停措施，机制不同，仅辅助</t>
        </is>
      </c>
      <c r="L41" s="2" t="inlineStr">
        <is>
          <t>商务部</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42">
      <c r="A42" s="2" t="inlineStr">
        <is>
          <t>Q009</t>
        </is>
      </c>
      <c r="B42" s="2" t="n">
        <v>1</v>
      </c>
      <c r="C42" s="2" t="inlineStr">
        <is>
          <t>WH_002</t>
        </is>
      </c>
      <c r="D42" s="2" t="inlineStr">
        <is>
          <t>The Great Transshipment Scam: Rise, Scope, and Costs（白宫非法转运报告）</t>
        </is>
      </c>
      <c r="E42" s="2" t="inlineStr">
        <is>
          <t>原产地与转运</t>
        </is>
      </c>
      <c r="F42" s="2" t="inlineStr">
        <is>
          <t>S</t>
        </is>
      </c>
      <c r="G42" s="2" t="n">
        <v>2</v>
      </c>
      <c r="H42" s="2" t="n">
        <v>2</v>
      </c>
      <c r="I42" s="3" t="n">
        <v>2</v>
      </c>
      <c r="J42" s="3" t="n">
        <v>2</v>
      </c>
      <c r="K42" s="2" t="inlineStr">
        <is>
          <t>白宫转运报告，政策方向直接证据</t>
        </is>
      </c>
      <c r="L42" s="2" t="inlineStr">
        <is>
          <t>美国白宫贸易与制造业政策办公室</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3">
      <c r="A43" s="2" t="inlineStr">
        <is>
          <t>Q009</t>
        </is>
      </c>
      <c r="B43" s="2" t="n">
        <v>2</v>
      </c>
      <c r="C43" s="2" t="inlineStr">
        <is>
          <t>CASE_010</t>
        </is>
      </c>
      <c r="D43" s="2" t="inlineStr">
        <is>
          <t>白宫点名东南亚为非法转运高风险地区，并推出AI执法工具</t>
        </is>
      </c>
      <c r="E43" s="2" t="inlineStr">
        <is>
          <t>原产地与转运</t>
        </is>
      </c>
      <c r="F43" s="2" t="inlineStr">
        <is>
          <t>S</t>
        </is>
      </c>
      <c r="G43" s="2" t="n">
        <v>2</v>
      </c>
      <c r="H43" s="2" t="n">
        <v>2</v>
      </c>
      <c r="I43" s="3" t="n">
        <v>2</v>
      </c>
      <c r="J43" s="3" t="n">
        <v>2</v>
      </c>
      <c r="K43" s="2" t="inlineStr">
        <is>
          <t>点名越/泰/马为转运高风险，直接</t>
        </is>
      </c>
      <c r="L43" s="2" t="inlineStr">
        <is>
          <t>美国白宫（经律所解读）</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TRD_003</t>
        </is>
      </c>
      <c r="D49" s="2" t="inlineStr">
        <is>
          <t>中国对越南、泰国、马来西亚出口 HS 8541/8542（中间品），2018–2025年度</t>
        </is>
      </c>
      <c r="E49" s="2" t="inlineStr">
        <is>
          <t>贸易流</t>
        </is>
      </c>
      <c r="F49" s="2" t="inlineStr">
        <is>
          <t>A+</t>
        </is>
      </c>
      <c r="G49" s="2" t="n">
        <v>1</v>
      </c>
      <c r="H49" s="2" t="n">
        <v>2</v>
      </c>
      <c r="I49" s="3" t="n">
        <v>1</v>
      </c>
      <c r="J49" s="3" t="n">
        <v>2</v>
      </c>
      <c r="K49" s="2" t="inlineStr">
        <is>
          <t>中间品出口数据，可作原产地认定背景，非执法判例本身</t>
        </is>
      </c>
      <c r="L49" s="2" t="inlineStr">
        <is>
          <t>联合国商品贸易统计数据库（UN Comtrade）</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50">
      <c r="A50" s="2" t="inlineStr">
        <is>
          <t>Q010</t>
        </is>
      </c>
      <c r="B50" s="2" t="n">
        <v>4</v>
      </c>
      <c r="C50" s="2" t="inlineStr">
        <is>
          <t>WH_002</t>
        </is>
      </c>
      <c r="D50" s="2" t="inlineStr">
        <is>
          <t>The Great Transshipment Scam: Rise, Scope, and Costs（白宫非法转运报告）</t>
        </is>
      </c>
      <c r="E50" s="2" t="inlineStr">
        <is>
          <t>原产地与转运</t>
        </is>
      </c>
      <c r="F50" s="2" t="inlineStr">
        <is>
          <t>S</t>
        </is>
      </c>
      <c r="G50" s="2" t="n">
        <v>2</v>
      </c>
      <c r="H50" s="2" t="n">
        <v>2</v>
      </c>
      <c r="I50" s="3" t="n">
        <v>2</v>
      </c>
      <c r="J50" s="3" t="n">
        <v>2</v>
      </c>
      <c r="K50" s="2" t="inlineStr">
        <is>
          <t>白宫非法转运报告，官方执法立场直接证据</t>
        </is>
      </c>
      <c r="L50" s="2" t="inlineStr">
        <is>
          <t>美国白宫贸易与制造业政策办公室</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1">
      <c r="A51" s="2" t="inlineStr">
        <is>
          <t>Q010</t>
        </is>
      </c>
      <c r="B51" s="2" t="n">
        <v>5</v>
      </c>
      <c r="C51" s="2" t="inlineStr">
        <is>
          <t>WH_001</t>
        </is>
      </c>
      <c r="D51" s="2" t="inlineStr">
        <is>
          <t>Executive Order 14411: Strengthening Customs Enforcement（加强海关执法行政令）</t>
        </is>
      </c>
      <c r="E51" s="2" t="inlineStr">
        <is>
          <t>原产地与转运</t>
        </is>
      </c>
      <c r="F51" s="2" t="inlineStr">
        <is>
          <t>S</t>
        </is>
      </c>
      <c r="G51" s="2" t="n">
        <v>1</v>
      </c>
      <c r="H51" s="2" t="n">
        <v>2</v>
      </c>
      <c r="I51" s="3" t="n">
        <v>2</v>
      </c>
      <c r="J51" s="3" t="n">
        <v>2</v>
      </c>
      <c r="K51" s="2" t="inlineStr">
        <is>
          <t>EO14411 加强海关执法，直接回答执法趋势 ｜ 人工判定与Auto(1)不同，请复核</t>
        </is>
      </c>
      <c r="L51" s="2" t="inlineStr">
        <is>
          <t>美国白宫</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2">
      <c r="A52" s="2" t="inlineStr">
        <is>
          <t>Q011</t>
        </is>
      </c>
      <c r="B52" s="2" t="n">
        <v>1</v>
      </c>
      <c r="C52" s="2" t="inlineStr">
        <is>
          <t>IMF_001</t>
        </is>
      </c>
      <c r="D52" s="2" t="inlineStr">
        <is>
          <t>World Economic Outlook, April 2023, Chapter 4: Geoeconomic Fragmentation and Foreign Direct Investment</t>
        </is>
      </c>
      <c r="E52" s="2" t="inlineStr">
        <is>
          <t>对外投资</t>
        </is>
      </c>
      <c r="F52" s="2" t="inlineStr">
        <is>
          <t>A+</t>
        </is>
      </c>
      <c r="G52" s="2" t="n">
        <v>2</v>
      </c>
      <c r="H52" s="2" t="n">
        <v>2</v>
      </c>
      <c r="I52" s="3" t="n">
        <v>2</v>
      </c>
      <c r="J52" s="3" t="n">
        <v>2</v>
      </c>
      <c r="K52" s="2" t="inlineStr">
        <is>
          <t>地缘经济碎片化框架，国际投资环境证据，直接</t>
        </is>
      </c>
      <c r="L52" s="2" t="inlineStr">
        <is>
          <t>国际货币基金组织（IMF）</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3">
      <c r="A53" s="2" t="inlineStr">
        <is>
          <t>Q011</t>
        </is>
      </c>
      <c r="B53" s="2" t="n">
        <v>2</v>
      </c>
      <c r="C53" s="2" t="inlineStr">
        <is>
          <t>CNGOV_001</t>
        </is>
      </c>
      <c r="D53" s="2" t="inlineStr">
        <is>
          <t>国务院关于对外投资的规定（国务院令第837号）</t>
        </is>
      </c>
      <c r="E53" s="2" t="inlineStr">
        <is>
          <t>对外投资</t>
        </is>
      </c>
      <c r="F53" s="2" t="inlineStr">
        <is>
          <t>S</t>
        </is>
      </c>
      <c r="G53" s="2" t="n">
        <v>2</v>
      </c>
      <c r="H53" s="2" t="n">
        <v>2</v>
      </c>
      <c r="I53" s="3" t="n">
        <v>2</v>
      </c>
      <c r="J53" s="3" t="n">
        <v>2</v>
      </c>
      <c r="K53" s="2" t="inlineStr">
        <is>
          <t>中国对外投资官方规则，直接</t>
        </is>
      </c>
      <c r="L53" s="2" t="inlineStr">
        <is>
          <t>中华人民共和国国务院</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4">
      <c r="A54" s="2" t="inlineStr">
        <is>
          <t>Q011</t>
        </is>
      </c>
      <c r="B54" s="2" t="n">
        <v>3</v>
      </c>
      <c r="C54" s="2" t="inlineStr">
        <is>
          <t>UNCTAD_001</t>
        </is>
      </c>
      <c r="D54" s="2" t="inlineStr">
        <is>
          <t>World Investment Report 2026: International Investment in a Turbulent Era</t>
        </is>
      </c>
      <c r="E54" s="2" t="inlineStr">
        <is>
          <t>对外投资</t>
        </is>
      </c>
      <c r="F54" s="2" t="inlineStr">
        <is>
          <t>A+</t>
        </is>
      </c>
      <c r="G54" s="2" t="n">
        <v>2</v>
      </c>
      <c r="H54" s="2" t="n">
        <v>2</v>
      </c>
      <c r="I54" s="3" t="n">
        <v>2</v>
      </c>
      <c r="J54" s="3" t="n">
        <v>2</v>
      </c>
      <c r="K54" s="2" t="inlineStr">
        <is>
          <t>世界投资报告，国际投资环境直接证据</t>
        </is>
      </c>
      <c r="L54" s="2" t="inlineStr">
        <is>
          <t>联合国贸易和发展会议（UNCTAD）</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55">
      <c r="A55" s="2" t="inlineStr">
        <is>
          <t>Q011</t>
        </is>
      </c>
      <c r="B55" s="2" t="n">
        <v>4</v>
      </c>
      <c r="C55" s="2" t="inlineStr">
        <is>
          <t>WEF_001</t>
        </is>
      </c>
      <c r="D55" s="2" t="inlineStr">
        <is>
          <t>Global Risks Report 2026（全球风险报告2026，第21版）</t>
        </is>
      </c>
      <c r="E55" s="2" t="inlineStr">
        <is>
          <t>宏观风险</t>
        </is>
      </c>
      <c r="F55" s="2" t="inlineStr">
        <is>
          <t>A+</t>
        </is>
      </c>
      <c r="G55" s="2" t="n">
        <v>1</v>
      </c>
      <c r="H55" s="2" t="n">
        <v>2</v>
      </c>
      <c r="I55" s="3" t="n">
        <v>1</v>
      </c>
      <c r="J55" s="3" t="n">
        <v>2</v>
      </c>
      <c r="K55" s="2" t="inlineStr">
        <is>
          <t>全球风险报告，宏观风险框架，非投资制度/环境证据</t>
        </is>
      </c>
      <c r="L55" s="2" t="inlineStr">
        <is>
          <t>世界经济论坛（WEF）</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Lashley, Senior Fellow Don Marshall, Professor Kenisha Chase, Research Assistant Benin Institut de Recherche Empirique en Economie Politique - IREEP Leonard Wantchekon, President Stéphania Houngan, Research Associate Bolivia (Plurinational State of), Costa Rica, Dominican Republi</t>
        </is>
      </c>
    </row>
    <row r="56">
      <c r="A56" s="2" t="inlineStr">
        <is>
          <t>Q011</t>
        </is>
      </c>
      <c r="B56" s="2" t="n">
        <v>5</v>
      </c>
      <c r="C56" s="2" t="inlineStr">
        <is>
          <t>CASE_001</t>
        </is>
      </c>
      <c r="D56" s="2" t="inlineStr">
        <is>
          <t>Dawang Metals：客户订单转移印度后回流，企业放弃海外建厂</t>
        </is>
      </c>
      <c r="E56" s="2" t="inlineStr">
        <is>
          <t>供应链布局</t>
        </is>
      </c>
      <c r="F56" s="2" t="inlineStr">
        <is>
          <t>B+</t>
        </is>
      </c>
      <c r="G56" s="2" t="n">
        <v>0</v>
      </c>
      <c r="H56" s="2" t="n">
        <v>1</v>
      </c>
      <c r="I56" s="3" t="n">
        <v>1</v>
      </c>
      <c r="J56" s="3" t="n">
        <v>1</v>
      </c>
      <c r="K56" s="2" t="inlineStr">
        <is>
          <t>企业放弃海外建厂个案，可作立项风险实例，非制度/环境证据 ｜ 人工判定与Auto(0)不同，请复核</t>
        </is>
      </c>
      <c r="L56" s="2" t="inlineStr">
        <is>
          <t>路透社（Reuters）</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UNCTAD_001</t>
        </is>
      </c>
      <c r="D58" s="2" t="inlineStr">
        <is>
          <t>World Investment Report 2026: International Investment in a Turbulent Era</t>
        </is>
      </c>
      <c r="E58" s="2" t="inlineStr">
        <is>
          <t>对外投资</t>
        </is>
      </c>
      <c r="F58" s="2" t="inlineStr">
        <is>
          <t>A+</t>
        </is>
      </c>
      <c r="G58" s="2" t="n">
        <v>2</v>
      </c>
      <c r="H58" s="2" t="n">
        <v>2</v>
      </c>
      <c r="I58" s="3" t="n">
        <v>2</v>
      </c>
      <c r="J58" s="3" t="n">
        <v>2</v>
      </c>
      <c r="K58" s="2" t="inlineStr">
        <is>
          <t>动荡期FDI趋势，直接</t>
        </is>
      </c>
      <c r="L58" s="2" t="inlineStr">
        <is>
          <t>联合国贸易和发展会议（UNCTAD）</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59">
      <c r="A59" s="2" t="inlineStr">
        <is>
          <t>Q012</t>
        </is>
      </c>
      <c r="B59" s="2" t="n">
        <v>3</v>
      </c>
      <c r="C59" s="2" t="inlineStr">
        <is>
          <t>CNGOV_001</t>
        </is>
      </c>
      <c r="D59" s="2" t="inlineStr">
        <is>
          <t>国务院关于对外投资的规定（国务院令第837号）</t>
        </is>
      </c>
      <c r="E59" s="2" t="inlineStr">
        <is>
          <t>对外投资</t>
        </is>
      </c>
      <c r="F59" s="2" t="inlineStr">
        <is>
          <t>S</t>
        </is>
      </c>
      <c r="G59" s="2" t="n">
        <v>1</v>
      </c>
      <c r="H59" s="2" t="n">
        <v>2</v>
      </c>
      <c r="I59" s="3" t="n">
        <v>1</v>
      </c>
      <c r="J59" s="3" t="n">
        <v>2</v>
      </c>
      <c r="K59" s="2" t="inlineStr">
        <is>
          <t>中国国内规定，非国际组织证据</t>
        </is>
      </c>
      <c r="L59" s="2" t="inlineStr">
        <is>
          <t>中华人民共和国国务院</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0">
      <c r="A60" s="2" t="inlineStr">
        <is>
          <t>Q012</t>
        </is>
      </c>
      <c r="B60" s="2" t="n">
        <v>4</v>
      </c>
      <c r="C60" s="2" t="inlineStr">
        <is>
          <t>TRD_003</t>
        </is>
      </c>
      <c r="D60" s="2" t="inlineStr">
        <is>
          <t>中国对越南、泰国、马来西亚出口 HS 8541/8542（中间品），2018–2025年度</t>
        </is>
      </c>
      <c r="E60" s="2" t="inlineStr">
        <is>
          <t>贸易流</t>
        </is>
      </c>
      <c r="F60" s="2" t="inlineStr">
        <is>
          <t>A+</t>
        </is>
      </c>
      <c r="G60" s="2" t="n">
        <v>0</v>
      </c>
      <c r="H60" s="2" t="n">
        <v>2</v>
      </c>
      <c r="I60" s="3" t="n">
        <v>1</v>
      </c>
      <c r="J60" s="3" t="n">
        <v>2</v>
      </c>
      <c r="K60" s="2" t="inlineStr">
        <is>
          <t>UN Comtrade 贸易流数据，可作碎片化趋势间接佐证，非投资判断证据 ｜ 人工判定与Auto(0)不同，请复核</t>
        </is>
      </c>
      <c r="L60" s="2" t="inlineStr">
        <is>
          <t>联合国商品贸易统计数据库（UN Comtrade）</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61">
      <c r="A61" s="2" t="inlineStr">
        <is>
          <t>Q012</t>
        </is>
      </c>
      <c r="B61" s="2" t="n">
        <v>5</v>
      </c>
      <c r="C61" s="2" t="inlineStr">
        <is>
          <t>CASE_007</t>
        </is>
      </c>
      <c r="D61" s="2" t="inlineStr">
        <is>
          <t>华工正源：马来西亚工厂，公开表述为规避地缘风险</t>
        </is>
      </c>
      <c r="E61" s="2" t="inlineStr">
        <is>
          <t>供应链布局</t>
        </is>
      </c>
      <c r="F61" s="2" t="inlineStr">
        <is>
          <t>B+</t>
        </is>
      </c>
      <c r="G61" s="2" t="n">
        <v>0</v>
      </c>
      <c r="H61" s="2" t="n">
        <v>1</v>
      </c>
      <c r="I61" s="3" t="n">
        <v>0</v>
      </c>
      <c r="J61" s="3" t="n">
        <v>1</v>
      </c>
      <c r="K61" s="2" t="inlineStr">
        <is>
          <t>企业个案，与地缘经济碎片化趋势判断无关</t>
        </is>
      </c>
      <c r="L61" s="2" t="inlineStr">
        <is>
          <t>C114通信网</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62">
      <c r="A62" s="2" t="inlineStr">
        <is>
          <t>Q013</t>
        </is>
      </c>
      <c r="B62" s="2" t="n">
        <v>1</v>
      </c>
      <c r="C62" s="2" t="inlineStr">
        <is>
          <t>UNCTAD_001</t>
        </is>
      </c>
      <c r="D62" s="2" t="inlineStr">
        <is>
          <t>World Investment Report 2026: International Investment in a Turbulent Era</t>
        </is>
      </c>
      <c r="E62" s="2" t="inlineStr">
        <is>
          <t>对外投资</t>
        </is>
      </c>
      <c r="F62" s="2" t="inlineStr">
        <is>
          <t>A+</t>
        </is>
      </c>
      <c r="G62" s="2" t="n">
        <v>2</v>
      </c>
      <c r="H62" s="2" t="n">
        <v>2</v>
      </c>
      <c r="I62" s="3" t="n">
        <v>2</v>
      </c>
      <c r="J62" s="3" t="n">
        <v>2</v>
      </c>
      <c r="K62" s="2" t="inlineStr">
        <is>
          <t>全球投资与地缘经济趋势，直接</t>
        </is>
      </c>
      <c r="L62" s="2" t="inlineStr">
        <is>
          <t>联合国贸易和发展会议（UNCTAD）</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3">
      <c r="A63" s="2" t="inlineStr">
        <is>
          <t>Q013</t>
        </is>
      </c>
      <c r="B63" s="2" t="n">
        <v>2</v>
      </c>
      <c r="C63" s="2" t="inlineStr">
        <is>
          <t>IMF_001</t>
        </is>
      </c>
      <c r="D63" s="2" t="inlineStr">
        <is>
          <t>World Economic Outlook, April 2023, Chapter 4: Geoeconomic Fragmentation and Foreign Direct Investment</t>
        </is>
      </c>
      <c r="E63" s="2" t="inlineStr">
        <is>
          <t>对外投资</t>
        </is>
      </c>
      <c r="F63" s="2" t="inlineStr">
        <is>
          <t>A+</t>
        </is>
      </c>
      <c r="G63" s="2" t="n">
        <v>2</v>
      </c>
      <c r="H63" s="2" t="n">
        <v>2</v>
      </c>
      <c r="I63" s="3" t="n">
        <v>2</v>
      </c>
      <c r="J63" s="3" t="n">
        <v>2</v>
      </c>
      <c r="K63" s="2" t="inlineStr">
        <is>
          <t>FDI与地缘经济碎片化框架，直接</t>
        </is>
      </c>
      <c r="L63" s="2" t="inlineStr">
        <is>
          <t>国际货币基金组织（IMF）</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WEF_001</t>
        </is>
      </c>
      <c r="D65" s="2" t="inlineStr">
        <is>
          <t>Global Risks Report 2026（全球风险报告2026，第21版）</t>
        </is>
      </c>
      <c r="E65" s="2" t="inlineStr">
        <is>
          <t>宏观风险</t>
        </is>
      </c>
      <c r="F65" s="2" t="inlineStr">
        <is>
          <t>A+</t>
        </is>
      </c>
      <c r="G65" s="2" t="n">
        <v>2</v>
      </c>
      <c r="H65" s="2" t="n">
        <v>2</v>
      </c>
      <c r="I65" s="3" t="n">
        <v>2</v>
      </c>
      <c r="J65" s="3" t="n">
        <v>2</v>
      </c>
      <c r="K65" s="2" t="inlineStr">
        <is>
          <t>全球风险报告将地缘经济对抗列为首要风险，直接支撑判断</t>
        </is>
      </c>
      <c r="L65" s="2" t="inlineStr">
        <is>
          <t>世界经济论坛（WEF）</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6">
      <c r="A66" s="2" t="inlineStr">
        <is>
          <t>Q013</t>
        </is>
      </c>
      <c r="B66" s="2" t="n">
        <v>5</v>
      </c>
      <c r="C66" s="2" t="inlineStr">
        <is>
          <t>MCK_001</t>
        </is>
      </c>
      <c r="D66" s="2" t="inlineStr">
        <is>
          <t>The art, science, and technology of geopolitical scenario planning</t>
        </is>
      </c>
      <c r="E66" s="2" t="inlineStr">
        <is>
          <t>宏观风险</t>
        </is>
      </c>
      <c r="F66" s="2" t="inlineStr">
        <is>
          <t>A</t>
        </is>
      </c>
      <c r="G66" s="2" t="n">
        <v>2</v>
      </c>
      <c r="H66" s="2" t="n">
        <v>2</v>
      </c>
      <c r="I66" s="3" t="n">
        <v>2</v>
      </c>
      <c r="J66" s="3" t="n">
        <v>2</v>
      </c>
      <c r="K66" s="2" t="inlineStr">
        <is>
          <t>地缘政治情景规划方法，直接支撑海外布局不确定性分析</t>
        </is>
      </c>
      <c r="L66" s="2" t="inlineStr">
        <is>
          <t>麦肯锡（McKinsey）</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FR_001</t>
        </is>
      </c>
      <c r="D71" s="2" t="inlineStr">
        <is>
          <t>Federal Register API（美国联邦公报）</t>
        </is>
      </c>
      <c r="E71" s="2" t="inlineStr">
        <is>
          <t>出口管制/关税</t>
        </is>
      </c>
      <c r="F71" s="2" t="inlineStr">
        <is>
          <t>S</t>
        </is>
      </c>
      <c r="G71" s="2" t="n">
        <v>1</v>
      </c>
      <c r="H71" s="2" t="n">
        <v>2</v>
      </c>
      <c r="I71" s="3" t="n">
        <v>1</v>
      </c>
      <c r="J71" s="3" t="n">
        <v>2</v>
      </c>
      <c r="K71" s="2" t="inlineStr">
        <is>
          <t>新规监测入口，非名称筛查数据源</t>
        </is>
      </c>
      <c r="L71" s="2" t="inlineStr">
        <is>
          <t>美国国家档案馆联邦公报办公室</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78">
      <c r="A78" s="2" t="inlineStr">
        <is>
          <t>Q016</t>
        </is>
      </c>
      <c r="B78" s="2" t="n">
        <v>2</v>
      </c>
      <c r="C78" s="2" t="inlineStr">
        <is>
          <t>TRD_003</t>
        </is>
      </c>
      <c r="D78" s="2" t="inlineStr">
        <is>
          <t>中国对越南、泰国、马来西亚出口 HS 8541/8542（中间品），2018–2025年度</t>
        </is>
      </c>
      <c r="E78" s="2" t="inlineStr">
        <is>
          <t>贸易流</t>
        </is>
      </c>
      <c r="F78" s="2" t="inlineStr">
        <is>
          <t>A+</t>
        </is>
      </c>
      <c r="G78" s="2" t="n">
        <v>2</v>
      </c>
      <c r="H78" s="2" t="n">
        <v>2</v>
      </c>
      <c r="I78" s="3" t="n">
        <v>2</v>
      </c>
      <c r="J78" s="3" t="n">
        <v>2</v>
      </c>
      <c r="K78" s="2" t="inlineStr">
        <is>
          <t>中国对越/泰/马中间品出口，直接</t>
        </is>
      </c>
      <c r="L78" s="2" t="inlineStr">
        <is>
          <t>联合国商品贸易统计数据库（UN Comtrade）</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79">
      <c r="A79" s="2" t="inlineStr">
        <is>
          <t>Q016</t>
        </is>
      </c>
      <c r="B79" s="2" t="n">
        <v>3</v>
      </c>
      <c r="C79" s="2" t="inlineStr">
        <is>
          <t>WH_002</t>
        </is>
      </c>
      <c r="D79" s="2" t="inlineStr">
        <is>
          <t>The Great Transshipment Scam: Rise, Scope, and Costs（白宫非法转运报告）</t>
        </is>
      </c>
      <c r="E79" s="2" t="inlineStr">
        <is>
          <t>原产地与转运</t>
        </is>
      </c>
      <c r="F79" s="2" t="inlineStr">
        <is>
          <t>S</t>
        </is>
      </c>
      <c r="G79" s="2" t="n">
        <v>1</v>
      </c>
      <c r="H79" s="2" t="n">
        <v>2</v>
      </c>
      <c r="I79" s="3" t="n">
        <v>2</v>
      </c>
      <c r="J79" s="3" t="n">
        <v>2</v>
      </c>
      <c r="K79" s="2" t="inlineStr">
        <is>
          <t>白宫非法转运报告，供应链迁移相关政策证据直接来源 ｜ 人工判定与Auto(1)不同，请复核</t>
        </is>
      </c>
      <c r="L79" s="2" t="inlineStr">
        <is>
          <t>美国白宫贸易与制造业政策办公室</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0">
      <c r="A80" s="2" t="inlineStr">
        <is>
          <t>Q016</t>
        </is>
      </c>
      <c r="B80" s="2" t="n">
        <v>4</v>
      </c>
      <c r="C80" s="2" t="inlineStr">
        <is>
          <t>TRD_002</t>
        </is>
      </c>
      <c r="D80" s="2" t="inlineStr">
        <is>
          <t>美国自越南、泰国、马来西亚、柬埔寨进口光伏组件HS 854140，2018–2025年度</t>
        </is>
      </c>
      <c r="E80" s="2" t="inlineStr">
        <is>
          <t>贸易流</t>
        </is>
      </c>
      <c r="F80" s="2" t="inlineStr">
        <is>
          <t>A+</t>
        </is>
      </c>
      <c r="G80" s="2" t="n">
        <v>1</v>
      </c>
      <c r="H80" s="2" t="n">
        <v>2</v>
      </c>
      <c r="I80" s="3" t="n">
        <v>1</v>
      </c>
      <c r="J80" s="3" t="n">
        <v>2</v>
      </c>
      <c r="K80" s="2" t="inlineStr">
        <is>
          <t>同区域同模式的贸易转移数据（光伏组件），可作模式类比，非EV/电池口径</t>
        </is>
      </c>
      <c r="L80" s="2" t="inlineStr">
        <is>
          <t>联合国商品贸易统计数据库（UN Comtrade）</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TRD_002 Title: 美国自越南、泰国、马来西亚、柬埔寨进口光伏组件HS 854140，2018–2025年度 Publisher: 联合国商品贸易统计数据库（UN Comtrade） Country/Jurisdiction: US / Federal Publication date: 持续更新 Status: CURRENT Topic: 贸易流 Applicability scope: GENERAL Related industries: ◆光伏 Key finding: HS 2022版起光伏组件编码调整（旧</t>
        </is>
      </c>
    </row>
    <row r="81">
      <c r="A81" s="2" t="inlineStr">
        <is>
          <t>Q016</t>
        </is>
      </c>
      <c r="B81" s="2" t="n">
        <v>5</v>
      </c>
      <c r="C81" s="2" t="inlineStr">
        <is>
          <t>CASE_003</t>
        </is>
      </c>
      <c r="D81" s="2" t="inlineStr">
        <is>
          <t>同一反规避调查中被认定“未规避”的企业（Hanwha、Jinko马来西亚、Boviet越南）</t>
        </is>
      </c>
      <c r="E81" s="2" t="inlineStr">
        <is>
          <t>反规避</t>
        </is>
      </c>
      <c r="F81" s="2" t="inlineStr">
        <is>
          <t>S</t>
        </is>
      </c>
      <c r="G81" s="2" t="n">
        <v>0</v>
      </c>
      <c r="H81" s="2" t="n">
        <v>2</v>
      </c>
      <c r="I81" s="3" t="n">
        <v>1</v>
      </c>
      <c r="J81" s="3" t="n">
        <v>2</v>
      </c>
      <c r="K81" s="2" t="inlineStr">
        <is>
          <t>反规避「未规避」判例，涉及区域原产地认定，间接相关 ｜ 人工判定与Auto(0)不同，请复核</t>
        </is>
      </c>
      <c r="L81" s="2" t="inlineStr">
        <is>
          <t>美国商务部（经律所解读）</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WTO_001</t>
        </is>
      </c>
      <c r="D85" s="2" t="inlineStr">
        <is>
          <t>Global Trade Outlook and Statistics（2026年3月版）</t>
        </is>
      </c>
      <c r="E85" s="2" t="inlineStr">
        <is>
          <t>贸易流</t>
        </is>
      </c>
      <c r="F85" s="2" t="inlineStr">
        <is>
          <t>A+</t>
        </is>
      </c>
      <c r="G85" s="2" t="n">
        <v>1</v>
      </c>
      <c r="H85" s="2" t="n">
        <v>2</v>
      </c>
      <c r="I85" s="3" t="n">
        <v>1</v>
      </c>
      <c r="J85" s="3" t="n">
        <v>2</v>
      </c>
      <c r="K85" s="2" t="inlineStr">
        <is>
          <t>全球贸易展望，提供背景但非中间品依赖/原产地风险的直接证据</t>
        </is>
      </c>
      <c r="L85" s="2" t="inlineStr">
        <is>
          <t>世界贸易组织（WTO）</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35 Appendix Table 1: Leading exporters and importers in world merchandise trade, 2025 (Billion dollars and percentage) Rank Exporters Value Share Annual percentage change Rank Importers Value Share Annual percentage change 1 China 3,772 14. 4 5 1 United States of America 3,507 13</t>
        </is>
      </c>
    </row>
    <row r="86">
      <c r="A86" s="2" t="inlineStr">
        <is>
          <t>Q017</t>
        </is>
      </c>
      <c r="B86" s="2" t="n">
        <v>5</v>
      </c>
      <c r="C86" s="2" t="inlineStr">
        <is>
          <t>CSIS_001</t>
        </is>
      </c>
      <c r="D86" s="2" t="inlineStr">
        <is>
          <t>The Visibility Gap: How AI Can Stop Chinese Transshipment Under USMCA</t>
        </is>
      </c>
      <c r="E86" s="2" t="inlineStr">
        <is>
          <t>原产地与转运</t>
        </is>
      </c>
      <c r="F86" s="2" t="inlineStr">
        <is>
          <t>A</t>
        </is>
      </c>
      <c r="G86" s="2" t="n">
        <v>2</v>
      </c>
      <c r="H86" s="2" t="n">
        <v>2</v>
      </c>
      <c r="I86" s="3" t="n">
        <v>2</v>
      </c>
      <c r="J86" s="3" t="n">
        <v>2</v>
      </c>
      <c r="K86" s="2" t="inlineStr">
        <is>
          <t>转运可见性分析，直接支持原产地风险判断</t>
        </is>
      </c>
      <c r="L86" s="2" t="inlineStr">
        <is>
          <t>战略与国际研究中心（CSIS）</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87">
      <c r="A87" s="2" t="inlineStr">
        <is>
          <t>Q018</t>
        </is>
      </c>
      <c r="B87" s="2" t="n">
        <v>1</v>
      </c>
      <c r="C87" s="2" t="inlineStr">
        <is>
          <t>TRD_003</t>
        </is>
      </c>
      <c r="D87" s="2" t="inlineStr">
        <is>
          <t>中国对越南、泰国、马来西亚出口 HS 8541/8542（中间品），2018–2025年度</t>
        </is>
      </c>
      <c r="E87" s="2" t="inlineStr">
        <is>
          <t>贸易流</t>
        </is>
      </c>
      <c r="F87" s="2" t="inlineStr">
        <is>
          <t>A+</t>
        </is>
      </c>
      <c r="G87" s="2" t="n">
        <v>2</v>
      </c>
      <c r="H87" s="2" t="n">
        <v>2</v>
      </c>
      <c r="I87" s="3" t="n">
        <v>2</v>
      </c>
      <c r="J87" s="3" t="n">
        <v>2</v>
      </c>
      <c r="K87" s="2" t="inlineStr">
        <is>
          <t>中国对东南亚中间品出口数据，直接支撑「依赖未隔离」判断</t>
        </is>
      </c>
      <c r="L87" s="2" t="inlineStr">
        <is>
          <t>联合国商品贸易统计数据库（UN Comtrade）</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8">
      <c r="A88" s="2" t="inlineStr">
        <is>
          <t>Q018</t>
        </is>
      </c>
      <c r="B88" s="2" t="n">
        <v>2</v>
      </c>
      <c r="C88" s="2" t="inlineStr">
        <is>
          <t>CASE_002</t>
        </is>
      </c>
      <c r="D88" s="2" t="inlineStr">
        <is>
          <t>美国对东南亚四国光伏产品反规避认定：视为中国原产并适用对华双反</t>
        </is>
      </c>
      <c r="E88" s="2" t="inlineStr">
        <is>
          <t>反规避</t>
        </is>
      </c>
      <c r="F88" s="2" t="inlineStr">
        <is>
          <t>S</t>
        </is>
      </c>
      <c r="G88" s="2" t="n">
        <v>2</v>
      </c>
      <c r="H88" s="2" t="n">
        <v>2</v>
      </c>
      <c r="I88" s="3" t="n">
        <v>2</v>
      </c>
      <c r="J88" s="3" t="n">
        <v>2</v>
      </c>
      <c r="K88" s="2" t="inlineStr">
        <is>
          <t>反规避「认定规避」，直接支撑风险未隔离</t>
        </is>
      </c>
      <c r="L88" s="2" t="inlineStr">
        <is>
          <t>美国商务部（经律所解读）</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TRD_001</t>
        </is>
      </c>
      <c r="D90" s="2" t="inlineStr">
        <is>
          <t>美国自中国、越南、泰国、马来西亚进口 HS 870380, 850760，2018–2025年度</t>
        </is>
      </c>
      <c r="E90" s="2" t="inlineStr">
        <is>
          <t>贸易流</t>
        </is>
      </c>
      <c r="F90" s="2" t="inlineStr">
        <is>
          <t>A+</t>
        </is>
      </c>
      <c r="G90" s="2" t="n">
        <v>1</v>
      </c>
      <c r="H90" s="2" t="n">
        <v>2</v>
      </c>
      <c r="I90" s="3" t="n">
        <v>1</v>
      </c>
      <c r="J90" s="3" t="n">
        <v>2</v>
      </c>
      <c r="K90" s="2" t="inlineStr">
        <is>
          <t>美国进口贸易数据，可作布局结果佐证，非风险隔离证据</t>
        </is>
      </c>
      <c r="L90" s="2" t="inlineStr">
        <is>
          <t>联合国商品贸易统计数据库（UN Comtrade）</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91">
      <c r="A91" s="2" t="inlineStr">
        <is>
          <t>Q018</t>
        </is>
      </c>
      <c r="B91" s="2" t="n">
        <v>5</v>
      </c>
      <c r="C91" s="2" t="inlineStr">
        <is>
          <t>CASE_001</t>
        </is>
      </c>
      <c r="D91" s="2" t="inlineStr">
        <is>
          <t>Dawang Metals：客户订单转移印度后回流，企业放弃海外建厂</t>
        </is>
      </c>
      <c r="E91" s="2" t="inlineStr">
        <is>
          <t>供应链布局</t>
        </is>
      </c>
      <c r="F91" s="2" t="inlineStr">
        <is>
          <t>B+</t>
        </is>
      </c>
      <c r="G91" s="2" t="n">
        <v>2</v>
      </c>
      <c r="H91" s="2" t="n">
        <v>1</v>
      </c>
      <c r="I91" s="3" t="n">
        <v>2</v>
      </c>
      <c r="J91" s="3" t="n">
        <v>1</v>
      </c>
      <c r="K91" s="2" t="inlineStr">
        <is>
          <t>订单转移印度后回流，直接说明海外迁移未达预期</t>
        </is>
      </c>
      <c r="L91" s="2" t="inlineStr">
        <is>
          <t>路透社（Reuters）</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CASE_008</t>
        </is>
      </c>
      <c r="D94" s="2" t="inlineStr">
        <is>
          <t>光模块厂商选择东南亚建厂以规避与欧美客户合作风险（中际旭创互动平台回复等）</t>
        </is>
      </c>
      <c r="E94" s="2" t="inlineStr">
        <is>
          <t>供应链布局</t>
        </is>
      </c>
      <c r="F94" s="2" t="inlineStr">
        <is>
          <t>B+</t>
        </is>
      </c>
      <c r="G94" s="2" t="n">
        <v>2</v>
      </c>
      <c r="H94" s="2" t="n">
        <v>1</v>
      </c>
      <c r="I94" s="3" t="n">
        <v>2</v>
      </c>
      <c r="J94" s="3" t="n">
        <v>1</v>
      </c>
      <c r="K94" s="2" t="inlineStr">
        <is>
          <t>东南亚建厂规避客户风险，直接说明布局调整</t>
        </is>
      </c>
      <c r="L94" s="2" t="inlineStr">
        <is>
          <t>中国基金报</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5">
      <c r="A95" s="2" t="inlineStr">
        <is>
          <t>Q019</t>
        </is>
      </c>
      <c r="B95" s="2" t="n">
        <v>4</v>
      </c>
      <c r="C95" s="2" t="inlineStr">
        <is>
          <t>CASE_004</t>
        </is>
      </c>
      <c r="D95" s="2" t="inlineStr">
        <is>
          <t>中际旭创：泰国工厂产能与国内基本齐平</t>
        </is>
      </c>
      <c r="E95" s="2" t="inlineStr">
        <is>
          <t>供应链布局</t>
        </is>
      </c>
      <c r="F95" s="2" t="inlineStr">
        <is>
          <t>B+</t>
        </is>
      </c>
      <c r="G95" s="2" t="n">
        <v>2</v>
      </c>
      <c r="H95" s="2" t="n">
        <v>1</v>
      </c>
      <c r="I95" s="3" t="n">
        <v>2</v>
      </c>
      <c r="J95" s="3" t="n">
        <v>1</v>
      </c>
      <c r="K95" s="2" t="inlineStr">
        <is>
          <t>泰国工厂产能齐平，直接说明布局调整</t>
        </is>
      </c>
      <c r="L95" s="2" t="inlineStr">
        <is>
          <t>国盛证券（经腾讯新闻转载）</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96">
      <c r="A96" s="2" t="inlineStr">
        <is>
          <t>Q019</t>
        </is>
      </c>
      <c r="B96" s="2" t="n">
        <v>5</v>
      </c>
      <c r="C96" s="2" t="inlineStr">
        <is>
          <t>CASE_003</t>
        </is>
      </c>
      <c r="D96" s="2" t="inlineStr">
        <is>
          <t>同一反规避调查中被认定“未规避”的企业（Hanwha、Jinko马来西亚、Boviet越南）</t>
        </is>
      </c>
      <c r="E96" s="2" t="inlineStr">
        <is>
          <t>反规避</t>
        </is>
      </c>
      <c r="F96" s="2" t="inlineStr">
        <is>
          <t>S</t>
        </is>
      </c>
      <c r="G96" s="2" t="n">
        <v>0</v>
      </c>
      <c r="H96" s="2" t="n">
        <v>2</v>
      </c>
      <c r="I96" s="3" t="n">
        <v>1</v>
      </c>
      <c r="J96" s="3" t="n">
        <v>2</v>
      </c>
      <c r="K96" s="2" t="inlineStr">
        <is>
          <t>反规避判例，属监管风险证据，非供应链韧性/执行风险主体 ｜ 人工判定与Auto(0)不同，请复核</t>
        </is>
      </c>
      <c r="L96" s="2" t="inlineStr">
        <is>
          <t>美国商务部（经律所解读）</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CASE_010</t>
        </is>
      </c>
      <c r="D99" s="2" t="inlineStr">
        <is>
          <t>白宫点名东南亚为非法转运高风险地区，并推出AI执法工具</t>
        </is>
      </c>
      <c r="E99" s="2" t="inlineStr">
        <is>
          <t>原产地与转运</t>
        </is>
      </c>
      <c r="F99" s="2" t="inlineStr">
        <is>
          <t>S</t>
        </is>
      </c>
      <c r="G99" s="2" t="n">
        <v>2</v>
      </c>
      <c r="H99" s="2" t="n">
        <v>2</v>
      </c>
      <c r="I99" s="3" t="n">
        <v>2</v>
      </c>
      <c r="J99" s="3" t="n">
        <v>2</v>
      </c>
      <c r="K99" s="2" t="inlineStr">
        <is>
          <t>点名泰/马转运高风险，直接</t>
        </is>
      </c>
      <c r="L99" s="2" t="inlineStr">
        <is>
          <t>美国白宫（经律所解读）</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0">
      <c r="A100" s="2" t="inlineStr">
        <is>
          <t>Q020</t>
        </is>
      </c>
      <c r="B100" s="2" t="n">
        <v>4</v>
      </c>
      <c r="C100" s="2" t="inlineStr">
        <is>
          <t>WH_001</t>
        </is>
      </c>
      <c r="D100" s="2" t="inlineStr">
        <is>
          <t>Executive Order 14411: Strengthening Customs Enforcement（加强海关执法行政令）</t>
        </is>
      </c>
      <c r="E100" s="2" t="inlineStr">
        <is>
          <t>原产地与转运</t>
        </is>
      </c>
      <c r="F100" s="2" t="inlineStr">
        <is>
          <t>S</t>
        </is>
      </c>
      <c r="G100" s="2" t="n">
        <v>1</v>
      </c>
      <c r="H100" s="2" t="n">
        <v>2</v>
      </c>
      <c r="I100" s="3" t="n">
        <v>2</v>
      </c>
      <c r="J100" s="3" t="n">
        <v>2</v>
      </c>
      <c r="K100" s="2" t="inlineStr">
        <is>
          <t>海关执法行政令，对应非法转运审查维度 ｜ 人工判定与Auto(1)不同，请复核 ｜ 人工判定与Auto(1)不同，请复核</t>
        </is>
      </c>
      <c r="L100" s="2" t="inlineStr">
        <is>
          <t>美国白宫</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1">
      <c r="A101" s="2" t="inlineStr">
        <is>
          <t>Q020</t>
        </is>
      </c>
      <c r="B101" s="2" t="n">
        <v>5</v>
      </c>
      <c r="C101" s="2" t="inlineStr">
        <is>
          <t>WTO_001</t>
        </is>
      </c>
      <c r="D101" s="2" t="inlineStr">
        <is>
          <t>Global Trade Outlook and Statistics（2026年3月版）</t>
        </is>
      </c>
      <c r="E101" s="2" t="inlineStr">
        <is>
          <t>贸易流</t>
        </is>
      </c>
      <c r="F101" s="2" t="inlineStr">
        <is>
          <t>A+</t>
        </is>
      </c>
      <c r="G101" s="2" t="n">
        <v>1</v>
      </c>
      <c r="H101" s="2" t="n">
        <v>2</v>
      </c>
      <c r="I101" s="3" t="n">
        <v>1</v>
      </c>
      <c r="J101" s="3" t="n">
        <v>2</v>
      </c>
      <c r="K101" s="2" t="inlineStr">
        <is>
          <t>全球贸易展望，提供宏观背景，非集中度/转运审查直接证据</t>
        </is>
      </c>
      <c r="L101" s="2" t="inlineStr">
        <is>
          <t>世界贸易组织（WTO）</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The total decline in the value of exports to the United States in 2025 was about US$ 105 billion, while the increase to other destinations was almost three times as high at US$ 301 billion. These statistics suggest that more than just trade diversion is at play. Excess capacity i</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WH_001</t>
        </is>
      </c>
      <c r="D105" s="2" t="inlineStr">
        <is>
          <t>Executive Order 14411: Strengthening Customs Enforcement（加强海关执法行政令）</t>
        </is>
      </c>
      <c r="E105" s="2" t="inlineStr">
        <is>
          <t>原产地与转运</t>
        </is>
      </c>
      <c r="F105" s="2" t="inlineStr">
        <is>
          <t>S</t>
        </is>
      </c>
      <c r="G105" s="2" t="n">
        <v>2</v>
      </c>
      <c r="H105" s="2" t="n">
        <v>2</v>
      </c>
      <c r="I105" s="3" t="n">
        <v>2</v>
      </c>
      <c r="J105" s="3" t="n">
        <v>2</v>
      </c>
      <c r="K105" s="2" t="inlineStr">
        <is>
          <t>EO14411进口商问责，直接</t>
        </is>
      </c>
      <c r="L105" s="2" t="inlineStr">
        <is>
          <t>美国白宫</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6">
      <c r="A106" s="2" t="inlineStr">
        <is>
          <t>Q021</t>
        </is>
      </c>
      <c r="B106" s="2" t="n">
        <v>5</v>
      </c>
      <c r="C106" s="2" t="inlineStr">
        <is>
          <t>CASE_002</t>
        </is>
      </c>
      <c r="D106" s="2" t="inlineStr">
        <is>
          <t>美国对东南亚四国光伏产品反规避认定：视为中国原产并适用对华双反</t>
        </is>
      </c>
      <c r="E106" s="2" t="inlineStr">
        <is>
          <t>反规避</t>
        </is>
      </c>
      <c r="F106" s="2" t="inlineStr">
        <is>
          <t>S</t>
        </is>
      </c>
      <c r="G106" s="2" t="n">
        <v>2</v>
      </c>
      <c r="H106" s="2" t="n">
        <v>2</v>
      </c>
      <c r="I106" s="3" t="n">
        <v>2</v>
      </c>
      <c r="J106" s="3" t="n">
        <v>2</v>
      </c>
      <c r="K106" s="2" t="inlineStr">
        <is>
          <t>仅凭申报原产地仍被认定中国原产，直接</t>
        </is>
      </c>
      <c r="L106" s="2" t="inlineStr">
        <is>
          <t>美国商务部（经律所解读）</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CASE_003</t>
        </is>
      </c>
      <c r="D110" s="2" t="inlineStr">
        <is>
          <t>同一反规避调查中被认定“未规避”的企业（Hanwha、Jinko马来西亚、Boviet越南）</t>
        </is>
      </c>
      <c r="E110" s="2" t="inlineStr">
        <is>
          <t>反规避</t>
        </is>
      </c>
      <c r="F110" s="2" t="inlineStr">
        <is>
          <t>S</t>
        </is>
      </c>
      <c r="G110" s="2" t="n">
        <v>0</v>
      </c>
      <c r="H110" s="2" t="n">
        <v>2</v>
      </c>
      <c r="I110" s="3" t="n">
        <v>0</v>
      </c>
      <c r="J110" s="3" t="n">
        <v>2</v>
      </c>
      <c r="K110" s="2" t="inlineStr">
        <is>
          <t>反规避「未规避」判例，与限制清单筛查无关</t>
        </is>
      </c>
      <c r="L110" s="2" t="inlineStr">
        <is>
          <t>美国商务部（经律所解读）</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1">
      <c r="A111" s="2" t="inlineStr">
        <is>
          <t>Q022</t>
        </is>
      </c>
      <c r="B111" s="2" t="n">
        <v>5</v>
      </c>
      <c r="C111" s="2" t="inlineStr">
        <is>
          <t>MOFCOM_001</t>
        </is>
      </c>
      <c r="D111" s="2" t="inlineStr">
        <is>
          <t>2026年度《两用物项和技术进出口许可证管理目录》</t>
        </is>
      </c>
      <c r="E111" s="2" t="inlineStr">
        <is>
          <t>出口管制</t>
        </is>
      </c>
      <c r="F111" s="2" t="inlineStr">
        <is>
          <t>S</t>
        </is>
      </c>
      <c r="G111" s="2" t="n">
        <v>1</v>
      </c>
      <c r="H111" s="2" t="n">
        <v>2</v>
      </c>
      <c r="I111" s="3" t="n">
        <v>1</v>
      </c>
      <c r="J111" s="3" t="n">
        <v>2</v>
      </c>
      <c r="K111" s="2" t="inlineStr">
        <is>
          <t>中国两用物项目录，属清单类证据，但为中国口径非美方限制清单</t>
        </is>
      </c>
      <c r="L111" s="2" t="inlineStr">
        <is>
          <t>商务部、海关总署</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-154 - 序号 商品名称 描述 海关商品 编号 单位 125 激 光系 统 （ AVLIS，MLIS 和 CRISLA） 为铀同位素分离专门设计或制造的激 光器或激光系统。 在以激光为基础的浓缩过程中有重要 意义的激光器和激光部件包括《中华人 民共和国两用物项出口管制清单》中所 列的那些激光器和激光部件。激光系统 一般包含用于管理激光束（一个或多 个）和向同位素分离室发射激光束的光 学和电子部件。AVLIS 过程使用的激 光系统通常由两个激光器组成：一个铜 蒸气激光器或某些固体激光器和一个 可调染料激光器。MLIS使用的激光系 统通常由一个 CO2激</t>
        </is>
      </c>
    </row>
    <row r="112">
      <c r="A112" s="2" t="inlineStr">
        <is>
          <t>Q023</t>
        </is>
      </c>
      <c r="B112" s="2" t="n">
        <v>1</v>
      </c>
      <c r="C112" s="2" t="inlineStr">
        <is>
          <t>DOC_001</t>
        </is>
      </c>
      <c r="D112" s="2" t="inlineStr">
        <is>
          <t>Final Circumvention Determinations: Crystalline Silicon Photovoltaic Cells from Cambodia, Malaysia, Thailand and Vietnam（东南亚四国光伏反规避终裁）</t>
        </is>
      </c>
      <c r="E112" s="2" t="inlineStr">
        <is>
          <t>反规避</t>
        </is>
      </c>
      <c r="F112" s="2" t="inlineStr">
        <is>
          <t>S</t>
        </is>
      </c>
      <c r="G112" s="2" t="n">
        <v>2</v>
      </c>
      <c r="H112" s="2" t="n">
        <v>2</v>
      </c>
      <c r="I112" s="3" t="n">
        <v>2</v>
      </c>
      <c r="J112" s="3" t="n">
        <v>2</v>
      </c>
      <c r="K112" s="2" t="inlineStr">
        <is>
          <t>官方反规避终裁原文，直接</t>
        </is>
      </c>
      <c r="L112" s="2" t="inlineStr">
        <is>
          <t>美国商务部</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3">
      <c r="A113" s="2" t="inlineStr">
        <is>
          <t>Q023</t>
        </is>
      </c>
      <c r="B113" s="2" t="n">
        <v>2</v>
      </c>
      <c r="C113" s="2" t="inlineStr">
        <is>
          <t>CASE_002</t>
        </is>
      </c>
      <c r="D113" s="2" t="inlineStr">
        <is>
          <t>美国对东南亚四国光伏产品反规避认定：视为中国原产并适用对华双反</t>
        </is>
      </c>
      <c r="E113" s="2" t="inlineStr">
        <is>
          <t>反规避</t>
        </is>
      </c>
      <c r="F113" s="2" t="inlineStr">
        <is>
          <t>S</t>
        </is>
      </c>
      <c r="G113" s="2" t="n">
        <v>2</v>
      </c>
      <c r="H113" s="2" t="n">
        <v>2</v>
      </c>
      <c r="I113" s="3" t="n">
        <v>2</v>
      </c>
      <c r="J113" s="3" t="n">
        <v>2</v>
      </c>
      <c r="K113" s="2" t="inlineStr">
        <is>
          <t>“认定规避”判例，直接</t>
        </is>
      </c>
      <c r="L113" s="2" t="inlineStr">
        <is>
          <t>美国商务部（经律所解读）</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CASE_010</t>
        </is>
      </c>
      <c r="D116" s="2" t="inlineStr">
        <is>
          <t>白宫点名东南亚为非法转运高风险地区，并推出AI执法工具</t>
        </is>
      </c>
      <c r="E116" s="2" t="inlineStr">
        <is>
          <t>原产地与转运</t>
        </is>
      </c>
      <c r="F116" s="2" t="inlineStr">
        <is>
          <t>S</t>
        </is>
      </c>
      <c r="G116" s="2" t="n">
        <v>2</v>
      </c>
      <c r="H116" s="2" t="n">
        <v>2</v>
      </c>
      <c r="I116" s="3" t="n">
        <v>2</v>
      </c>
      <c r="J116" s="3" t="n">
        <v>2</v>
      </c>
      <c r="K116" s="2" t="inlineStr">
        <is>
          <t>东南亚转运高风险，直接</t>
        </is>
      </c>
      <c r="L116" s="2" t="inlineStr">
        <is>
          <t>美国白宫（经律所解读）</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WEF_001</t>
        </is>
      </c>
      <c r="D125" s="2" t="inlineStr">
        <is>
          <t>Global Risks Report 2026（全球风险报告2026，第21版）</t>
        </is>
      </c>
      <c r="E125" s="2" t="inlineStr">
        <is>
          <t>宏观风险</t>
        </is>
      </c>
      <c r="F125" s="2" t="inlineStr">
        <is>
          <t>A+</t>
        </is>
      </c>
      <c r="G125" s="2" t="n">
        <v>2</v>
      </c>
      <c r="H125" s="2" t="n">
        <v>2</v>
      </c>
      <c r="I125" s="3" t="n">
        <v>2</v>
      </c>
      <c r="J125" s="3" t="n">
        <v>2</v>
      </c>
      <c r="K125" s="2" t="inlineStr">
        <is>
          <t>首要风险与不确定性，直接</t>
        </is>
      </c>
      <c r="L125" s="2" t="inlineStr">
        <is>
          <t>世界经济论坛（WEF）</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126">
      <c r="A126" s="2" t="inlineStr">
        <is>
          <t>Q025</t>
        </is>
      </c>
      <c r="B126" s="2" t="n">
        <v>5</v>
      </c>
      <c r="C126" s="2" t="inlineStr">
        <is>
          <t>MCK_001</t>
        </is>
      </c>
      <c r="D126" s="2" t="inlineStr">
        <is>
          <t>The art, science, and technology of geopolitical scenario planning</t>
        </is>
      </c>
      <c r="E126" s="2" t="inlineStr">
        <is>
          <t>宏观风险</t>
        </is>
      </c>
      <c r="F126" s="2" t="inlineStr">
        <is>
          <t>A</t>
        </is>
      </c>
      <c r="G126" s="2" t="n">
        <v>2</v>
      </c>
      <c r="H126" s="2" t="n">
        <v>2</v>
      </c>
      <c r="I126" s="3" t="n">
        <v>2</v>
      </c>
      <c r="J126" s="3" t="n">
        <v>2</v>
      </c>
      <c r="K126" s="2" t="inlineStr">
        <is>
          <t>地缘政治情景规划，直接</t>
        </is>
      </c>
      <c r="L126" s="2" t="inlineStr">
        <is>
          <t>麦肯锡（McKinsey）</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BIS_001</t>
        </is>
      </c>
      <c r="D128" s="2" t="inlineStr">
        <is>
          <t>Expansion of End-User Controls to Cover Affiliates of Certain Listed Entities（关联企业规则 / 50%穿透规则，临时最终规则）</t>
        </is>
      </c>
      <c r="E128" s="2" t="inlineStr">
        <is>
          <t>出口管制</t>
        </is>
      </c>
      <c r="F128" s="2" t="inlineStr">
        <is>
          <t>S</t>
        </is>
      </c>
      <c r="G128" s="2" t="n">
        <v>2</v>
      </c>
      <c r="H128" s="2" t="n">
        <v>2</v>
      </c>
      <c r="I128" s="3" t="n">
        <v>2</v>
      </c>
      <c r="J128" s="3" t="n">
        <v>2</v>
      </c>
      <c r="K128" s="2" t="inlineStr">
        <is>
          <t>情景A（规则恢复）的直接依据</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29">
      <c r="A129" s="2" t="inlineStr">
        <is>
          <t>Q026</t>
        </is>
      </c>
      <c r="B129" s="2" t="n">
        <v>3</v>
      </c>
      <c r="C129" s="2" t="inlineStr">
        <is>
          <t>CASE_009</t>
        </is>
      </c>
      <c r="D129" s="2" t="inlineStr">
        <is>
          <t>BIS 50%穿透规则：发布→暂停→2026-11-10恢复的完整时间线</t>
        </is>
      </c>
      <c r="E129" s="2" t="inlineStr">
        <is>
          <t>出口管制</t>
        </is>
      </c>
      <c r="F129" s="2" t="inlineStr">
        <is>
          <t>S</t>
        </is>
      </c>
      <c r="G129" s="2" t="n">
        <v>2</v>
      </c>
      <c r="H129" s="2" t="n">
        <v>2</v>
      </c>
      <c r="I129" s="3" t="n">
        <v>2</v>
      </c>
      <c r="J129" s="3" t="n">
        <v>2</v>
      </c>
      <c r="K129" s="2" t="inlineStr">
        <is>
          <t>完整时间线，直接</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30">
      <c r="A130" s="2" t="inlineStr">
        <is>
          <t>Q026</t>
        </is>
      </c>
      <c r="B130" s="2" t="n">
        <v>4</v>
      </c>
      <c r="C130" s="2" t="inlineStr">
        <is>
          <t>CASE_001</t>
        </is>
      </c>
      <c r="D130" s="2" t="inlineStr">
        <is>
          <t>Dawang Metals：客户订单转移印度后回流，企业放弃海外建厂</t>
        </is>
      </c>
      <c r="E130" s="2" t="inlineStr">
        <is>
          <t>供应链布局</t>
        </is>
      </c>
      <c r="F130" s="2" t="inlineStr">
        <is>
          <t>B+</t>
        </is>
      </c>
      <c r="G130" s="2" t="n">
        <v>0</v>
      </c>
      <c r="H130" s="2" t="n">
        <v>1</v>
      </c>
      <c r="I130" s="3" t="n">
        <v>0</v>
      </c>
      <c r="J130" s="3" t="n">
        <v>1</v>
      </c>
      <c r="K130" s="2" t="inlineStr">
        <is>
          <t>金属铸造回流案例，与BIS规则情景无关</t>
        </is>
      </c>
      <c r="L130" s="2" t="inlineStr">
        <is>
          <t>路透社（Reuters）</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1">
      <c r="A131" s="2" t="inlineStr">
        <is>
          <t>Q026</t>
        </is>
      </c>
      <c r="B131" s="2" t="n">
        <v>5</v>
      </c>
      <c r="C131" s="2" t="inlineStr">
        <is>
          <t>FR_001</t>
        </is>
      </c>
      <c r="D131" s="2" t="inlineStr">
        <is>
          <t>Federal Register API（美国联邦公报）</t>
        </is>
      </c>
      <c r="E131" s="2" t="inlineStr">
        <is>
          <t>出口管制/关税</t>
        </is>
      </c>
      <c r="F131" s="2" t="inlineStr">
        <is>
          <t>S</t>
        </is>
      </c>
      <c r="G131" s="2" t="n">
        <v>2</v>
      </c>
      <c r="H131" s="2" t="n">
        <v>2</v>
      </c>
      <c r="I131" s="3" t="n">
        <v>2</v>
      </c>
      <c r="J131" s="3" t="n">
        <v>2</v>
      </c>
      <c r="K131" s="2" t="inlineStr">
        <is>
          <t>跟踪情景走向的官方监测入口</t>
        </is>
      </c>
      <c r="L131" s="2" t="inlineStr">
        <is>
          <t>美国国家档案馆联邦公报办公室</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32">
      <c r="A132" s="2" t="inlineStr">
        <is>
          <t>Q027</t>
        </is>
      </c>
      <c r="B132" s="2" t="n">
        <v>1</v>
      </c>
      <c r="C132" s="2" t="inlineStr">
        <is>
          <t>DOC_001</t>
        </is>
      </c>
      <c r="D132" s="2" t="inlineStr">
        <is>
          <t>Final Circumvention Determinations: Crystalline Silicon Photovoltaic Cells from Cambodia, Malaysia, Thailand and Vietnam（东南亚四国光伏反规避终裁）</t>
        </is>
      </c>
      <c r="E132" s="2" t="inlineStr">
        <is>
          <t>反规避</t>
        </is>
      </c>
      <c r="F132" s="2" t="inlineStr">
        <is>
          <t>S</t>
        </is>
      </c>
      <c r="G132" s="2" t="n">
        <v>2</v>
      </c>
      <c r="H132" s="2" t="n">
        <v>2</v>
      </c>
      <c r="I132" s="3" t="n">
        <v>2</v>
      </c>
      <c r="J132" s="3" t="n">
        <v>2</v>
      </c>
      <c r="K132" s="2" t="inlineStr">
        <is>
          <t>终裁原文，直接</t>
        </is>
      </c>
      <c r="L132" s="2" t="inlineStr">
        <is>
          <t>美国商务部</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3">
      <c r="A133" s="2" t="inlineStr">
        <is>
          <t>Q027</t>
        </is>
      </c>
      <c r="B133" s="2" t="n">
        <v>2</v>
      </c>
      <c r="C133" s="2" t="inlineStr">
        <is>
          <t>CASE_002</t>
        </is>
      </c>
      <c r="D133" s="2" t="inlineStr">
        <is>
          <t>美国对东南亚四国光伏产品反规避认定：视为中国原产并适用对华双反</t>
        </is>
      </c>
      <c r="E133" s="2" t="inlineStr">
        <is>
          <t>反规避</t>
        </is>
      </c>
      <c r="F133" s="2" t="inlineStr">
        <is>
          <t>S</t>
        </is>
      </c>
      <c r="G133" s="2" t="n">
        <v>2</v>
      </c>
      <c r="H133" s="2" t="n">
        <v>2</v>
      </c>
      <c r="I133" s="3" t="n">
        <v>2</v>
      </c>
      <c r="J133" s="3" t="n">
        <v>2</v>
      </c>
      <c r="K133" s="2" t="inlineStr">
        <is>
          <t>“认定规避”判例，直接</t>
        </is>
      </c>
      <c r="L133" s="2" t="inlineStr">
        <is>
          <t>美国商务部（经律所解读）</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35">
      <c r="A135" s="2" t="inlineStr">
        <is>
          <t>Q027</t>
        </is>
      </c>
      <c r="B135" s="2" t="n">
        <v>4</v>
      </c>
      <c r="C135" s="2" t="inlineStr">
        <is>
          <t>CASE_010</t>
        </is>
      </c>
      <c r="D135" s="2" t="inlineStr">
        <is>
          <t>白宫点名东南亚为非法转运高风险地区，并推出AI执法工具</t>
        </is>
      </c>
      <c r="E135" s="2" t="inlineStr">
        <is>
          <t>原产地与转运</t>
        </is>
      </c>
      <c r="F135" s="2" t="inlineStr">
        <is>
          <t>S</t>
        </is>
      </c>
      <c r="G135" s="2" t="n">
        <v>1</v>
      </c>
      <c r="H135" s="2" t="n">
        <v>2</v>
      </c>
      <c r="I135" s="3" t="n">
        <v>2</v>
      </c>
      <c r="J135" s="3" t="n">
        <v>2</v>
      </c>
      <c r="K135" s="2" t="inlineStr">
        <is>
          <t>转运执法证据，题目点名要求 ｜ 人工判定与Auto(1)不同，请复核 ｜ 人工判定与Auto(1)不同，请复核</t>
        </is>
      </c>
      <c r="L135" s="2" t="inlineStr">
        <is>
          <t>美国白宫（经律所解读）</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36">
      <c r="A136" s="2" t="inlineStr">
        <is>
          <t>Q027</t>
        </is>
      </c>
      <c r="B136" s="2" t="n">
        <v>5</v>
      </c>
      <c r="C136" s="2" t="inlineStr">
        <is>
          <t>WH_002</t>
        </is>
      </c>
      <c r="D136" s="2" t="inlineStr">
        <is>
          <t>The Great Transshipment Scam: Rise, Scope, and Costs（白宫非法转运报告）</t>
        </is>
      </c>
      <c r="E136" s="2" t="inlineStr">
        <is>
          <t>原产地与转运</t>
        </is>
      </c>
      <c r="F136" s="2" t="inlineStr">
        <is>
          <t>S</t>
        </is>
      </c>
      <c r="G136" s="2" t="n">
        <v>2</v>
      </c>
      <c r="H136" s="2" t="n">
        <v>2</v>
      </c>
      <c r="I136" s="3" t="n">
        <v>2</v>
      </c>
      <c r="J136" s="3" t="n">
        <v>2</v>
      </c>
      <c r="K136" s="2" t="inlineStr">
        <is>
          <t>转运执法证据，题目点名要求</t>
        </is>
      </c>
      <c r="L136" s="2" t="inlineStr">
        <is>
          <t>美国白宫贸易与制造业政策办公室</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8">
      <c r="A138" s="2" t="inlineStr">
        <is>
          <t>Q028</t>
        </is>
      </c>
      <c r="B138" s="2" t="n">
        <v>2</v>
      </c>
      <c r="C138" s="2" t="inlineStr">
        <is>
          <t>WH_002</t>
        </is>
      </c>
      <c r="D138" s="2" t="inlineStr">
        <is>
          <t>The Great Transshipment Scam: Rise, Scope, and Costs（白宫非法转运报告）</t>
        </is>
      </c>
      <c r="E138" s="2" t="inlineStr">
        <is>
          <t>原产地与转运</t>
        </is>
      </c>
      <c r="F138" s="2" t="inlineStr">
        <is>
          <t>S</t>
        </is>
      </c>
      <c r="G138" s="2" t="n">
        <v>2</v>
      </c>
      <c r="H138" s="2" t="n">
        <v>2</v>
      </c>
      <c r="I138" s="3" t="n">
        <v>2</v>
      </c>
      <c r="J138" s="3" t="n">
        <v>2</v>
      </c>
      <c r="K138" s="2" t="inlineStr">
        <is>
          <t>转运与原产地风险，直接</t>
        </is>
      </c>
      <c r="L138" s="2" t="inlineStr">
        <is>
          <t>美国白宫贸易与制造业政策办公室</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9">
      <c r="A139" s="2" t="inlineStr">
        <is>
          <t>Q028</t>
        </is>
      </c>
      <c r="B139" s="2" t="n">
        <v>3</v>
      </c>
      <c r="C139" s="2" t="inlineStr">
        <is>
          <t>DOC_001</t>
        </is>
      </c>
      <c r="D139" s="2" t="inlineStr">
        <is>
          <t>Final Circumvention Determinations: Crystalline Silicon Photovoltaic Cells from Cambodia, Malaysia, Thailand and Vietnam（东南亚四国光伏反规避终裁）</t>
        </is>
      </c>
      <c r="E139" s="2" t="inlineStr">
        <is>
          <t>反规避</t>
        </is>
      </c>
      <c r="F139" s="2" t="inlineStr">
        <is>
          <t>S</t>
        </is>
      </c>
      <c r="G139" s="2" t="n">
        <v>0</v>
      </c>
      <c r="H139" s="2" t="n">
        <v>2</v>
      </c>
      <c r="I139" s="3" t="n">
        <v>2</v>
      </c>
      <c r="J139" s="3" t="n">
        <v>2</v>
      </c>
      <c r="K139" s="2" t="inlineStr">
        <is>
          <t>反规避终裁，界定“实质性转变”，直接 ｜ 人工判定与Auto(0)不同，请复核 ｜ 人工判定与Auto(0)不同，请复核</t>
        </is>
      </c>
      <c r="L139" s="2" t="inlineStr">
        <is>
          <t>美国商务部</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40">
      <c r="A140" s="2" t="inlineStr">
        <is>
          <t>Q028</t>
        </is>
      </c>
      <c r="B140" s="2" t="n">
        <v>4</v>
      </c>
      <c r="C140" s="2" t="inlineStr">
        <is>
          <t>CASE_002</t>
        </is>
      </c>
      <c r="D140" s="2" t="inlineStr">
        <is>
          <t>美国对东南亚四国光伏产品反规避认定：视为中国原产并适用对华双反</t>
        </is>
      </c>
      <c r="E140" s="2" t="inlineStr">
        <is>
          <t>反规避</t>
        </is>
      </c>
      <c r="F140" s="2" t="inlineStr">
        <is>
          <t>S</t>
        </is>
      </c>
      <c r="G140" s="2" t="n">
        <v>2</v>
      </c>
      <c r="H140" s="2" t="n">
        <v>2</v>
      </c>
      <c r="I140" s="3" t="n">
        <v>2</v>
      </c>
      <c r="J140" s="3" t="n">
        <v>2</v>
      </c>
      <c r="K140" s="2" t="inlineStr">
        <is>
          <t>“认定规避”判例，直接</t>
        </is>
      </c>
      <c r="L140" s="2" t="inlineStr">
        <is>
          <t>美国商务部（经律所解读）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41">
      <c r="A141" s="2" t="inlineStr">
        <is>
          <t>Q028</t>
        </is>
      </c>
      <c r="B141" s="2" t="n">
        <v>5</v>
      </c>
      <c r="C141" s="2" t="inlineStr">
        <is>
          <t>CASE_003</t>
        </is>
      </c>
      <c r="D141" s="2" t="inlineStr">
        <is>
          <t>同一反规避调查中被认定“未规避”的企业（Hanwha、Jinko马来西亚、Boviet越南）</t>
        </is>
      </c>
      <c r="E141" s="2" t="inlineStr">
        <is>
          <t>反规避</t>
        </is>
      </c>
      <c r="F141" s="2" t="inlineStr">
        <is>
          <t>S</t>
        </is>
      </c>
      <c r="G141" s="2" t="n">
        <v>2</v>
      </c>
      <c r="H141" s="2" t="n">
        <v>2</v>
      </c>
      <c r="I141" s="3" t="n">
        <v>2</v>
      </c>
      <c r="J141" s="3" t="n">
        <v>2</v>
      </c>
      <c r="K141" s="2" t="inlineStr">
        <is>
          <t>反规避「未规避」判例，直接支持「提高当地供应商比例」的可行性与原产地判断</t>
        </is>
      </c>
      <c r="L141" s="2" t="inlineStr">
        <is>
          <t>美国商务部（经律所解读）</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UNCTAD_001</t>
        </is>
      </c>
      <c r="D143" s="2" t="inlineStr">
        <is>
          <t>World Investment Report 2026: International Investment in a Turbulent Era</t>
        </is>
      </c>
      <c r="E143" s="2" t="inlineStr">
        <is>
          <t>对外投资</t>
        </is>
      </c>
      <c r="F143" s="2" t="inlineStr">
        <is>
          <t>A+</t>
        </is>
      </c>
      <c r="G143" s="2" t="n">
        <v>2</v>
      </c>
      <c r="H143" s="2" t="n">
        <v>2</v>
      </c>
      <c r="I143" s="3" t="n">
        <v>2</v>
      </c>
      <c r="J143" s="3" t="n">
        <v>2</v>
      </c>
      <c r="K143" s="2" t="inlineStr">
        <is>
          <t>全球投资趋势，直接</t>
        </is>
      </c>
      <c r="L143" s="2" t="inlineStr">
        <is>
          <t>联合国贸易和发展会议（UNCTAD）</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4">
      <c r="A144" s="2" t="inlineStr">
        <is>
          <t>Q029</t>
        </is>
      </c>
      <c r="B144" s="2" t="n">
        <v>3</v>
      </c>
      <c r="C144" s="2" t="inlineStr">
        <is>
          <t>WTO_001</t>
        </is>
      </c>
      <c r="D144" s="2" t="inlineStr">
        <is>
          <t>Global Trade Outlook and Statistics（2026年3月版）</t>
        </is>
      </c>
      <c r="E144" s="2" t="inlineStr">
        <is>
          <t>贸易流</t>
        </is>
      </c>
      <c r="F144" s="2" t="inlineStr">
        <is>
          <t>A+</t>
        </is>
      </c>
      <c r="G144" s="2" t="n">
        <v>0</v>
      </c>
      <c r="H144" s="2" t="n">
        <v>2</v>
      </c>
      <c r="I144" s="3" t="n">
        <v>1</v>
      </c>
      <c r="J144" s="3" t="n">
        <v>2</v>
      </c>
      <c r="K144" s="2" t="inlineStr">
        <is>
          <t>全球贸易展望，非投资政策/调查证据 ｜ 人工判定与Auto(0)不同，请复核 ｜ 人工判定与Auto(0)不同，请复核</t>
        </is>
      </c>
      <c r="L144" s="2" t="inlineStr">
        <is>
          <t>世界贸易组织（WTO）</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CASE_001</t>
        </is>
      </c>
      <c r="D146" s="2" t="inlineStr">
        <is>
          <t>Dawang Metals：客户订单转移印度后回流，企业放弃海外建厂</t>
        </is>
      </c>
      <c r="E146" s="2" t="inlineStr">
        <is>
          <t>供应链布局</t>
        </is>
      </c>
      <c r="F146" s="2" t="inlineStr">
        <is>
          <t>B+</t>
        </is>
      </c>
      <c r="G146" s="2" t="n">
        <v>0</v>
      </c>
      <c r="H146" s="2" t="n">
        <v>1</v>
      </c>
      <c r="I146" s="3" t="n">
        <v>1</v>
      </c>
      <c r="J146" s="3" t="n">
        <v>1</v>
      </c>
      <c r="K146" s="2" t="inlineStr">
        <is>
          <t>企业放弃海外建厂个案，可作延后投资决策参考，非投资政策/趋势证据 ｜ 人工判定与Auto(0)不同，请复核</t>
        </is>
      </c>
      <c r="L146" s="2" t="inlineStr">
        <is>
          <t>路透社（Reuters）</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TRD_001</t>
        </is>
      </c>
      <c r="D150" s="2" t="inlineStr">
        <is>
          <t>美国自中国、越南、泰国、马来西亚进口 HS 870380, 850760，2018–2025年度</t>
        </is>
      </c>
      <c r="E150" s="2" t="inlineStr">
        <is>
          <t>贸易流</t>
        </is>
      </c>
      <c r="F150" s="2" t="inlineStr">
        <is>
          <t>A+</t>
        </is>
      </c>
      <c r="G150" s="2" t="n">
        <v>2</v>
      </c>
      <c r="H150" s="2" t="n">
        <v>2</v>
      </c>
      <c r="I150" s="3" t="n">
        <v>2</v>
      </c>
      <c r="J150" s="3" t="n">
        <v>2</v>
      </c>
      <c r="K150" s="2" t="inlineStr">
        <is>
          <t>美国自中/越/泰/马进口贸易数据，直接支撑集中度与准入比较</t>
        </is>
      </c>
      <c r="L150" s="2" t="inlineStr">
        <is>
          <t>联合国商品贸易统计数据库（UN Comtrade）</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sheetData>
  <autoFilter ref="A1:Q151"/>
  <dataValidations count="1">
    <dataValidation sqref="I2:J151"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f>IFERROR(AVERAGEIF('Item Scoring'!$A$2:$A$151,$A2,'Item Scoring'!$I$2:$I$151),"")</f>
        <v/>
      </c>
      <c r="E2" s="3">
        <f>IFERROR(AVERAGEIF('Item Scoring'!$A$2:$A$151,$A2,'Item Scoring'!$J$2:$J$151),"")</f>
        <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f>IFERROR(AVERAGEIF('Item Scoring'!$A$2:$A$151,$A3,'Item Scoring'!$I$2:$I$151),"")</f>
        <v/>
      </c>
      <c r="E3" s="3">
        <f>IFERROR(AVERAGEIF('Item Scoring'!$A$2:$A$151,$A3,'Item Scoring'!$J$2:$J$151),"")</f>
        <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CASE_003; CASE_002; TRD_003</t>
        </is>
      </c>
    </row>
    <row r="4">
      <c r="A4" s="2" t="inlineStr">
        <is>
          <t>Q003</t>
        </is>
      </c>
      <c r="B4" s="2" t="n">
        <v>1</v>
      </c>
      <c r="C4" s="2" t="n">
        <v>1</v>
      </c>
      <c r="D4" s="2">
        <f>IFERROR(AVERAGEIF('Item Scoring'!$A$2:$A$151,$A4,'Item Scoring'!$I$2:$I$151),"")</f>
        <v/>
      </c>
      <c r="E4" s="3">
        <f>IFERROR(AVERAGEIF('Item Scoring'!$A$2:$A$151,$A4,'Item Scoring'!$J$2:$J$151),"")</f>
        <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CASE_006; CASE_004</t>
        </is>
      </c>
    </row>
    <row r="5">
      <c r="A5" s="2" t="inlineStr">
        <is>
          <t>Q004</t>
        </is>
      </c>
      <c r="B5" s="2" t="n">
        <v>1</v>
      </c>
      <c r="C5" s="2" t="n">
        <v>5</v>
      </c>
      <c r="D5" s="2">
        <f>IFERROR(AVERAGEIF('Item Scoring'!$A$2:$A$151,$A5,'Item Scoring'!$I$2:$I$151),"")</f>
        <v/>
      </c>
      <c r="E5" s="3">
        <f>IFERROR(AVERAGEIF('Item Scoring'!$A$2:$A$151,$A5,'Item Scoring'!$J$2:$J$151),"")</f>
        <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4</v>
      </c>
      <c r="D6" s="2">
        <f>IFERROR(AVERAGEIF('Item Scoring'!$A$2:$A$151,$A6,'Item Scoring'!$I$2:$I$151),"")</f>
        <v/>
      </c>
      <c r="E6" s="3">
        <f>IFERROR(AVERAGEIF('Item Scoring'!$A$2:$A$151,$A6,'Item Scoring'!$J$2:$J$151),"")</f>
        <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CASE_010; CASE_001</t>
        </is>
      </c>
    </row>
    <row r="7">
      <c r="A7" s="2" t="inlineStr">
        <is>
          <t>Q006</t>
        </is>
      </c>
      <c r="B7" s="2" t="n">
        <v>1</v>
      </c>
      <c r="C7" s="2" t="n">
        <v>4</v>
      </c>
      <c r="D7" s="2">
        <f>IFERROR(AVERAGEIF('Item Scoring'!$A$2:$A$151,$A7,'Item Scoring'!$I$2:$I$151),"")</f>
        <v/>
      </c>
      <c r="E7" s="3">
        <f>IFERROR(AVERAGEIF('Item Scoring'!$A$2:$A$151,$A7,'Item Scoring'!$J$2:$J$151),"")</f>
        <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BIS_001; BIS_002; MOFCOM_001; CASE_009; MOFCOM_002</t>
        </is>
      </c>
    </row>
    <row r="8">
      <c r="A8" s="2" t="inlineStr">
        <is>
          <t>Q007</t>
        </is>
      </c>
      <c r="B8" s="2" t="n">
        <v>1</v>
      </c>
      <c r="C8" s="2" t="n">
        <v>4</v>
      </c>
      <c r="D8" s="2">
        <f>IFERROR(AVERAGEIF('Item Scoring'!$A$2:$A$151,$A8,'Item Scoring'!$I$2:$I$151),"")</f>
        <v/>
      </c>
      <c r="E8" s="3">
        <f>IFERROR(AVERAGEIF('Item Scoring'!$A$2:$A$151,$A8,'Item Scoring'!$J$2:$J$151),"")</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FR_001</t>
        </is>
      </c>
    </row>
    <row r="9">
      <c r="A9" s="2" t="inlineStr">
        <is>
          <t>Q008</t>
        </is>
      </c>
      <c r="B9" s="2" t="n">
        <v>1</v>
      </c>
      <c r="C9" s="2" t="n">
        <v>3</v>
      </c>
      <c r="D9" s="2">
        <f>IFERROR(AVERAGEIF('Item Scoring'!$A$2:$A$151,$A9,'Item Scoring'!$I$2:$I$151),"")</f>
        <v/>
      </c>
      <c r="E9" s="3">
        <f>IFERROR(AVERAGEIF('Item Scoring'!$A$2:$A$151,$A9,'Item Scoring'!$J$2:$J$151),"")</f>
        <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ITA_001; MOFCOM_002</t>
        </is>
      </c>
    </row>
    <row r="10">
      <c r="A10" s="2" t="inlineStr">
        <is>
          <t>Q009</t>
        </is>
      </c>
      <c r="B10" s="2" t="n">
        <v>1</v>
      </c>
      <c r="C10" s="2" t="n">
        <v>4</v>
      </c>
      <c r="D10" s="2">
        <f>IFERROR(AVERAGEIF('Item Scoring'!$A$2:$A$151,$A10,'Item Scoring'!$I$2:$I$151),"")</f>
        <v/>
      </c>
      <c r="E10" s="3">
        <f>IFERROR(AVERAGEIF('Item Scoring'!$A$2:$A$151,$A10,'Item Scoring'!$J$2:$J$151),"")</f>
        <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WH_002; CASE_010; WH_001; CASE_002; CSIS_001</t>
        </is>
      </c>
    </row>
    <row r="11">
      <c r="A11" s="2" t="inlineStr">
        <is>
          <t>Q010</t>
        </is>
      </c>
      <c r="B11" s="2" t="n">
        <v>1</v>
      </c>
      <c r="C11" s="2" t="n">
        <v>3</v>
      </c>
      <c r="D11" s="2">
        <f>IFERROR(AVERAGEIF('Item Scoring'!$A$2:$A$151,$A11,'Item Scoring'!$I$2:$I$151),"")</f>
        <v/>
      </c>
      <c r="E11" s="3">
        <f>IFERROR(AVERAGEIF('Item Scoring'!$A$2:$A$151,$A11,'Item Scoring'!$J$2:$J$151),"")</f>
        <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TRD_003; WH_002; WH_001</t>
        </is>
      </c>
    </row>
    <row r="12">
      <c r="A12" s="2" t="inlineStr">
        <is>
          <t>Q011</t>
        </is>
      </c>
      <c r="B12" s="2" t="n">
        <v>1</v>
      </c>
      <c r="C12" s="2" t="n">
        <v>3</v>
      </c>
      <c r="D12" s="2">
        <f>IFERROR(AVERAGEIF('Item Scoring'!$A$2:$A$151,$A12,'Item Scoring'!$I$2:$I$151),"")</f>
        <v/>
      </c>
      <c r="E12" s="3">
        <f>IFERROR(AVERAGEIF('Item Scoring'!$A$2:$A$151,$A12,'Item Scoring'!$J$2:$J$151),"")</f>
        <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IMF_001; CNGOV_001; UNCTAD_001; WEF_001; CASE_001</t>
        </is>
      </c>
    </row>
    <row r="13">
      <c r="A13" s="2" t="inlineStr">
        <is>
          <t>Q012</t>
        </is>
      </c>
      <c r="B13" s="2" t="n">
        <v>1</v>
      </c>
      <c r="C13" s="2" t="n">
        <v>2</v>
      </c>
      <c r="D13" s="2">
        <f>IFERROR(AVERAGEIF('Item Scoring'!$A$2:$A$151,$A13,'Item Scoring'!$I$2:$I$151),"")</f>
        <v/>
      </c>
      <c r="E13" s="3">
        <f>IFERROR(AVERAGEIF('Item Scoring'!$A$2:$A$151,$A13,'Item Scoring'!$J$2:$J$151),"")</f>
        <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UNCTAD_001; CNGOV_001; TRD_003; CASE_007</t>
        </is>
      </c>
    </row>
    <row r="14">
      <c r="A14" s="2" t="inlineStr">
        <is>
          <t>Q013</t>
        </is>
      </c>
      <c r="B14" s="2" t="n">
        <v>1</v>
      </c>
      <c r="C14" s="2" t="n">
        <v>5</v>
      </c>
      <c r="D14" s="2">
        <f>IFERROR(AVERAGEIF('Item Scoring'!$A$2:$A$151,$A14,'Item Scoring'!$I$2:$I$151),"")</f>
        <v/>
      </c>
      <c r="E14" s="3">
        <f>IFERROR(AVERAGEIF('Item Scoring'!$A$2:$A$151,$A14,'Item Scoring'!$J$2:$J$151),"")</f>
        <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UNCTAD_001; IMF_001; WTO_001; WEF_001; MCK_001</t>
        </is>
      </c>
    </row>
    <row r="15">
      <c r="A15" s="2" t="inlineStr">
        <is>
          <t>Q014</t>
        </is>
      </c>
      <c r="B15" s="2" t="n">
        <v>1</v>
      </c>
      <c r="C15" s="2" t="n">
        <v>4</v>
      </c>
      <c r="D15" s="2">
        <f>IFERROR(AVERAGEIF('Item Scoring'!$A$2:$A$151,$A15,'Item Scoring'!$I$2:$I$151),"")</f>
        <v/>
      </c>
      <c r="E15" s="3">
        <f>IFERROR(AVERAGEIF('Item Scoring'!$A$2:$A$151,$A15,'Item Scoring'!$J$2:$J$151),"")</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FR_001</t>
        </is>
      </c>
    </row>
    <row r="16">
      <c r="A16" s="2" t="inlineStr">
        <is>
          <t>Q015</t>
        </is>
      </c>
      <c r="B16" s="2" t="n">
        <v>1</v>
      </c>
      <c r="C16" s="2" t="n">
        <v>2</v>
      </c>
      <c r="D16" s="2">
        <f>IFERROR(AVERAGEIF('Item Scoring'!$A$2:$A$151,$A16,'Item Scoring'!$I$2:$I$151),"")</f>
        <v/>
      </c>
      <c r="E16" s="3">
        <f>IFERROR(AVERAGEIF('Item Scoring'!$A$2:$A$151,$A16,'Item Scoring'!$J$2:$J$151),"")</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Scoring'!$A$2:$A$151,$A17,'Item Scoring'!$I$2:$I$151),"")</f>
        <v/>
      </c>
      <c r="E17" s="3">
        <f>IFERROR(AVERAGEIF('Item Scoring'!$A$2:$A$151,$A17,'Item Scoring'!$J$2:$J$151),"")</f>
        <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TRD_003; WH_002; TRD_002; CASE_003</t>
        </is>
      </c>
    </row>
    <row r="18">
      <c r="A18" s="2" t="inlineStr">
        <is>
          <t>Q017</t>
        </is>
      </c>
      <c r="B18" s="2" t="n">
        <v>1</v>
      </c>
      <c r="C18" s="2" t="n">
        <v>4</v>
      </c>
      <c r="D18" s="2">
        <f>IFERROR(AVERAGEIF('Item Scoring'!$A$2:$A$151,$A18,'Item Scoring'!$I$2:$I$151),"")</f>
        <v/>
      </c>
      <c r="E18" s="3">
        <f>IFERROR(AVERAGEIF('Item Scoring'!$A$2:$A$151,$A18,'Item Scoring'!$J$2:$J$151),"")</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WTO_001; CSIS_001</t>
        </is>
      </c>
    </row>
    <row r="19">
      <c r="A19" s="2" t="inlineStr">
        <is>
          <t>Q018</t>
        </is>
      </c>
      <c r="B19" s="2" t="n">
        <v>1</v>
      </c>
      <c r="C19" s="2" t="n">
        <v>4</v>
      </c>
      <c r="D19" s="2">
        <f>IFERROR(AVERAGEIF('Item Scoring'!$A$2:$A$151,$A19,'Item Scoring'!$I$2:$I$151),"")</f>
        <v/>
      </c>
      <c r="E19" s="3">
        <f>IFERROR(AVERAGEIF('Item Scoring'!$A$2:$A$151,$A19,'Item Scoring'!$J$2:$J$151),"")</f>
        <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TRD_003; CASE_002; CASE_008; TRD_001; CASE_001</t>
        </is>
      </c>
    </row>
    <row r="20">
      <c r="A20" s="2" t="inlineStr">
        <is>
          <t>Q019</t>
        </is>
      </c>
      <c r="B20" s="2" t="n">
        <v>1</v>
      </c>
      <c r="C20" s="2" t="n">
        <v>4</v>
      </c>
      <c r="D20" s="2">
        <f>IFERROR(AVERAGEIF('Item Scoring'!$A$2:$A$151,$A20,'Item Scoring'!$I$2:$I$151),"")</f>
        <v/>
      </c>
      <c r="E20" s="3">
        <f>IFERROR(AVERAGEIF('Item Scoring'!$A$2:$A$151,$A20,'Item Scoring'!$J$2:$J$151),"")</f>
        <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CASE_008; CASE_004; CASE_003</t>
        </is>
      </c>
    </row>
    <row r="21">
      <c r="A21" s="2" t="inlineStr">
        <is>
          <t>Q020</t>
        </is>
      </c>
      <c r="B21" s="2" t="n">
        <v>1</v>
      </c>
      <c r="C21" s="2" t="n">
        <v>3</v>
      </c>
      <c r="D21" s="2">
        <f>IFERROR(AVERAGEIF('Item Scoring'!$A$2:$A$151,$A21,'Item Scoring'!$I$2:$I$151),"")</f>
        <v/>
      </c>
      <c r="E21" s="3">
        <f>IFERROR(AVERAGEIF('Item Scoring'!$A$2:$A$151,$A21,'Item Scoring'!$J$2:$J$151),"")</f>
        <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CASE_010; WH_001; WTO_001</t>
        </is>
      </c>
    </row>
    <row r="22">
      <c r="A22" s="2" t="inlineStr">
        <is>
          <t>Q021</t>
        </is>
      </c>
      <c r="B22" s="2" t="n">
        <v>1</v>
      </c>
      <c r="C22" s="2" t="n">
        <v>5</v>
      </c>
      <c r="D22" s="2">
        <f>IFERROR(AVERAGEIF('Item Scoring'!$A$2:$A$151,$A22,'Item Scoring'!$I$2:$I$151),"")</f>
        <v/>
      </c>
      <c r="E22" s="3">
        <f>IFERROR(AVERAGEIF('Item Scoring'!$A$2:$A$151,$A22,'Item Scoring'!$J$2:$J$151),"")</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WH_001; CASE_002</t>
        </is>
      </c>
    </row>
    <row r="23">
      <c r="A23" s="2" t="inlineStr">
        <is>
          <t>Q022</t>
        </is>
      </c>
      <c r="B23" s="2" t="n">
        <v>1</v>
      </c>
      <c r="C23" s="2" t="n">
        <v>3</v>
      </c>
      <c r="D23" s="2">
        <f>IFERROR(AVERAGEIF('Item Scoring'!$A$2:$A$151,$A23,'Item Scoring'!$I$2:$I$151),"")</f>
        <v/>
      </c>
      <c r="E23" s="3">
        <f>IFERROR(AVERAGEIF('Item Scoring'!$A$2:$A$151,$A23,'Item Scoring'!$J$2:$J$151),"")</f>
        <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CASE_003; MOFCOM_001</t>
        </is>
      </c>
    </row>
    <row r="24">
      <c r="A24" s="2" t="inlineStr">
        <is>
          <t>Q023</t>
        </is>
      </c>
      <c r="B24" s="2" t="n">
        <v>1</v>
      </c>
      <c r="C24" s="2" t="n">
        <v>5</v>
      </c>
      <c r="D24" s="2">
        <f>IFERROR(AVERAGEIF('Item Scoring'!$A$2:$A$151,$A24,'Item Scoring'!$I$2:$I$151),"")</f>
        <v/>
      </c>
      <c r="E24" s="3">
        <f>IFERROR(AVERAGEIF('Item Scoring'!$A$2:$A$151,$A24,'Item Scoring'!$J$2:$J$151),"")</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DOC_001; CASE_002; CASE_003; WH_002; CASE_010</t>
        </is>
      </c>
    </row>
    <row r="25">
      <c r="A25" s="2" t="inlineStr">
        <is>
          <t>Q024</t>
        </is>
      </c>
      <c r="B25" s="2" t="n">
        <v>1</v>
      </c>
      <c r="C25" s="2" t="n">
        <v>5</v>
      </c>
      <c r="D25" s="2">
        <f>IFERROR(AVERAGEIF('Item Scoring'!$A$2:$A$151,$A25,'Item Scoring'!$I$2:$I$151),"")</f>
        <v/>
      </c>
      <c r="E25" s="3">
        <f>IFERROR(AVERAGEIF('Item Scoring'!$A$2:$A$151,$A25,'Item Scoring'!$J$2:$J$151),"")</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5</v>
      </c>
      <c r="D26" s="2">
        <f>IFERROR(AVERAGEIF('Item Scoring'!$A$2:$A$151,$A26,'Item Scoring'!$I$2:$I$151),"")</f>
        <v/>
      </c>
      <c r="E26" s="3">
        <f>IFERROR(AVERAGEIF('Item Scoring'!$A$2:$A$151,$A26,'Item Scoring'!$J$2:$J$151),"")</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WEF_001; MCK_001</t>
        </is>
      </c>
    </row>
    <row r="27">
      <c r="A27" s="2" t="inlineStr">
        <is>
          <t>Q026</t>
        </is>
      </c>
      <c r="B27" s="2" t="n">
        <v>1</v>
      </c>
      <c r="C27" s="2" t="n">
        <v>4</v>
      </c>
      <c r="D27" s="2">
        <f>IFERROR(AVERAGEIF('Item Scoring'!$A$2:$A$151,$A27,'Item Scoring'!$I$2:$I$151),"")</f>
        <v/>
      </c>
      <c r="E27" s="3">
        <f>IFERROR(AVERAGEIF('Item Scoring'!$A$2:$A$151,$A27,'Item Scoring'!$J$2:$J$151),"")</f>
        <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BIS_001; CASE_009; CASE_001; FR_001</t>
        </is>
      </c>
    </row>
    <row r="28">
      <c r="A28" s="2" t="inlineStr">
        <is>
          <t>Q027</t>
        </is>
      </c>
      <c r="B28" s="2" t="n">
        <v>1</v>
      </c>
      <c r="C28" s="2" t="n">
        <v>4</v>
      </c>
      <c r="D28" s="2">
        <f>IFERROR(AVERAGEIF('Item Scoring'!$A$2:$A$151,$A28,'Item Scoring'!$I$2:$I$151),"")</f>
        <v/>
      </c>
      <c r="E28" s="3">
        <f>IFERROR(AVERAGEIF('Item Scoring'!$A$2:$A$151,$A28,'Item Scoring'!$J$2:$J$151),"")</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DOC_001; CASE_002; CASE_003; CASE_010; WH_002</t>
        </is>
      </c>
    </row>
    <row r="29">
      <c r="A29" s="2" t="inlineStr">
        <is>
          <t>Q028</t>
        </is>
      </c>
      <c r="B29" s="2" t="n">
        <v>1</v>
      </c>
      <c r="C29" s="2" t="n">
        <v>4</v>
      </c>
      <c r="D29" s="2">
        <f>IFERROR(AVERAGEIF('Item Scoring'!$A$2:$A$151,$A29,'Item Scoring'!$I$2:$I$151),"")</f>
        <v/>
      </c>
      <c r="E29" s="3">
        <f>IFERROR(AVERAGEIF('Item Scoring'!$A$2:$A$151,$A29,'Item Scoring'!$J$2:$J$151),"")</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WH_002; DOC_001; CASE_002; CASE_003</t>
        </is>
      </c>
    </row>
    <row r="30">
      <c r="A30" s="2" t="inlineStr">
        <is>
          <t>Q029</t>
        </is>
      </c>
      <c r="B30" s="2" t="n">
        <v>1</v>
      </c>
      <c r="C30" s="2" t="n">
        <v>3</v>
      </c>
      <c r="D30" s="2">
        <f>IFERROR(AVERAGEIF('Item Scoring'!$A$2:$A$151,$A30,'Item Scoring'!$I$2:$I$151),"")</f>
        <v/>
      </c>
      <c r="E30" s="3">
        <f>IFERROR(AVERAGEIF('Item Scoring'!$A$2:$A$151,$A30,'Item Scoring'!$J$2:$J$151),"")</f>
        <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UNCTAD_001; WTO_001; CNGOV_001; CASE_001</t>
        </is>
      </c>
    </row>
    <row r="31">
      <c r="A31" s="2" t="inlineStr">
        <is>
          <t>Q030</t>
        </is>
      </c>
      <c r="B31" s="2" t="n">
        <v>1</v>
      </c>
      <c r="C31" s="2" t="n">
        <v>4</v>
      </c>
      <c r="D31" s="2">
        <f>IFERROR(AVERAGEIF('Item Scoring'!$A$2:$A$151,$A31,'Item Scoring'!$I$2:$I$151),"")</f>
        <v/>
      </c>
      <c r="E31" s="3">
        <f>IFERROR(AVERAGEIF('Item Scoring'!$A$2:$A$151,$A31,'Item Scoring'!$J$2:$J$151),"")</f>
        <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TRD_001; CASE_007</t>
        </is>
      </c>
    </row>
  </sheetData>
  <dataValidations count="1">
    <dataValidation sqref="F2:F31"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Scoring'!$D$2:$D$31)</f>
        <v/>
      </c>
      <c r="C5" t="inlineStr">
        <is>
          <t>&gt;= 1.5</t>
        </is>
      </c>
      <c r="D5">
        <f>IF(B5="","",IF(B5&gt;=1.5,"PASS","FAIL"))</f>
        <v/>
      </c>
    </row>
    <row r="6">
      <c r="A6" t="inlineStr">
        <is>
          <t>Avg Authority (Top-5, 0-2)</t>
        </is>
      </c>
      <c r="B6" s="7">
        <f>AVERAGE('Question Scoring'!$E$2:$E$31)</f>
        <v/>
      </c>
      <c r="C6" t="inlineStr">
        <is>
          <t>&gt;= 1.5</t>
        </is>
      </c>
      <c r="D6">
        <f>IF(B6="","",IF(B6&gt;=1.5,"PASS","FAIL"))</f>
        <v/>
      </c>
    </row>
    <row r="7">
      <c r="A7" t="inlineStr">
        <is>
          <t>Hit@5 rate (&gt;=1 correct evidence in Top-5)</t>
        </is>
      </c>
      <c r="B7" s="8">
        <f>AVERAGE('Question Scoring'!$B$2:$B$31)</f>
        <v/>
      </c>
      <c r="C7" t="inlineStr">
        <is>
          <t>&gt;= 80%</t>
        </is>
      </c>
      <c r="D7">
        <f>IF(B7="","",IF(B7&gt;=0.8,"PASS","FAIL"))</f>
        <v/>
      </c>
    </row>
    <row r="8">
      <c r="A8" t="inlineStr">
        <is>
          <t>Avg Coverage (0-2)</t>
        </is>
      </c>
      <c r="B8" s="7">
        <f>IFERROR(AVERAGE('Question Scoring'!$F$2:$F$31),"")</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keyed by evidence_id).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2026-10-14T02:41:08Z</dcterms:created>
  <dcterms:modified xsi:type="dcterms:W3CDTF">2026-10-14T02:41:08Z</dcterms:modified>
</cp:coreProperties>
</file>