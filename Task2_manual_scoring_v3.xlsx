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tem Scoring" sheetId="1" state="visible" r:id="rId1"/>
    <sheet name="Question Scoring" sheetId="2" state="visible" r:id="rId2"/>
    <sheet name="Summary" sheetId="3" state="visible" r:id="rId3"/>
    <sheet name="Rubric" sheetId="4" state="visible" r:id="rId4"/>
  </sheets>
  <definedNames>
    <definedName name="_xlnm._FilterDatabase" localSheetId="0" hidden="1">'Item Scoring'!$A$1:$Q$201</definedName>
  </definedNames>
  <calcPr calcId="124519" fullCalcOnLoad="1"/>
</workbook>
</file>

<file path=xl/styles.xml><?xml version="1.0" encoding="utf-8"?>
<styleSheet xmlns="http://schemas.openxmlformats.org/spreadsheetml/2006/main">
  <numFmts count="2">
    <numFmt numFmtId="164" formatCode="0.000"/>
    <numFmt numFmtId="165" formatCode="0.0%"/>
  </numFmts>
  <fonts count="5">
    <font>
      <name val="Calibri"/>
      <family val="2"/>
      <color theme="1"/>
      <sz val="11"/>
      <scheme val="minor"/>
    </font>
    <font>
      <b val="1"/>
      <color rgb="00FFFFFF"/>
      <sz val="11"/>
    </font>
    <font>
      <b val="1"/>
      <color rgb="00FFFFFF"/>
    </font>
    <font>
      <b val="1"/>
      <color rgb="00FFFFFF"/>
      <sz val="12"/>
    </font>
    <font>
      <b val="1"/>
    </font>
  </fonts>
  <fills count="5">
    <fill>
      <patternFill/>
    </fill>
    <fill>
      <patternFill patternType="gray125"/>
    </fill>
    <fill>
      <patternFill patternType="solid">
        <fgColor rgb="001F3864"/>
      </patternFill>
    </fill>
    <fill>
      <patternFill patternType="solid">
        <fgColor rgb="00FFF2CC"/>
      </patternFill>
    </fill>
    <fill>
      <patternFill patternType="solid">
        <fgColor rgb="002E5E4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1" fillId="4" borderId="0" applyAlignment="1" pivotButton="0" quotePrefix="0" xfId="0">
      <alignment horizontal="center" vertical="center" wrapText="1"/>
    </xf>
    <xf numFmtId="0" fontId="3" fillId="2" borderId="0" pivotButton="0" quotePrefix="0" xfId="0"/>
    <xf numFmtId="0" fontId="2" fillId="2" borderId="0" pivotButton="0" quotePrefix="0" xfId="0"/>
    <xf numFmtId="164" fontId="0" fillId="0" borderId="0" pivotButton="0" quotePrefix="0" xfId="0"/>
    <xf numFmtId="165" fontId="0" fillId="0" borderId="0" pivotButton="0" quotePrefix="0" xfId="0"/>
    <xf numFmtId="0" fontId="0" fillId="0"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6" customWidth="1" min="2" max="2"/>
    <col width="18" customWidth="1" min="3" max="3"/>
    <col width="46" customWidth="1" min="4" max="4"/>
    <col width="15" customWidth="1" min="5" max="5"/>
    <col width="12" customWidth="1" min="6" max="6"/>
    <col width="10" customWidth="1" min="7" max="7"/>
    <col width="11" customWidth="1" min="8" max="8"/>
    <col width="12" customWidth="1" min="9" max="9"/>
    <col width="12" customWidth="1" min="10" max="10"/>
    <col width="46" customWidth="1" min="11" max="11"/>
    <col width="26" customWidth="1" min="12" max="12"/>
    <col width="20" customWidth="1" min="13" max="13"/>
    <col width="16" customWidth="1" min="14" max="14"/>
    <col width="24" customWidth="1" min="15" max="15"/>
    <col width="60" customWidth="1" min="16" max="16"/>
    <col width="70" customWidth="1" min="17" max="17"/>
  </cols>
  <sheetData>
    <row r="1" ht="32" customHeight="1">
      <c r="A1" s="1" t="inlineStr">
        <is>
          <t>Question ID</t>
        </is>
      </c>
      <c r="B1" s="1" t="inlineStr">
        <is>
          <t>Rank</t>
        </is>
      </c>
      <c r="C1" s="1" t="inlineStr">
        <is>
          <t>Retrieved Evidence ID</t>
        </is>
      </c>
      <c r="D1" s="1" t="inlineStr">
        <is>
          <t>Title</t>
        </is>
      </c>
      <c r="E1" s="1" t="inlineStr">
        <is>
          <t>Retrieved Topic</t>
        </is>
      </c>
      <c r="F1" s="1" t="inlineStr">
        <is>
          <t>Authority (S/A+/A/B+)</t>
        </is>
      </c>
      <c r="G1" s="1" t="inlineStr">
        <is>
          <t>Auto Relevance (0-2)</t>
        </is>
      </c>
      <c r="H1" s="1" t="inlineStr">
        <is>
          <t>Auto Authority (0-2)</t>
        </is>
      </c>
      <c r="I1" s="1" t="inlineStr">
        <is>
          <t>Relevance (0/1/2)</t>
        </is>
      </c>
      <c r="J1" s="1" t="inlineStr">
        <is>
          <t>Authority (0/1/2)</t>
        </is>
      </c>
      <c r="K1" s="1" t="inlineStr">
        <is>
          <t>Notes</t>
        </is>
      </c>
      <c r="L1" s="1" t="inlineStr">
        <is>
          <t>Publisher</t>
        </is>
      </c>
      <c r="M1" s="1" t="inlineStr">
        <is>
          <t>Scenario Category</t>
        </is>
      </c>
      <c r="N1" s="1" t="inlineStr">
        <is>
          <t>Expected Topic</t>
        </is>
      </c>
      <c r="O1" s="1" t="inlineStr">
        <is>
          <t>Expected Evidence IDs</t>
        </is>
      </c>
      <c r="P1" s="1" t="inlineStr">
        <is>
          <t>Question</t>
        </is>
      </c>
      <c r="Q1" s="1" t="inlineStr">
        <is>
          <t>Evidence Excerpt</t>
        </is>
      </c>
    </row>
    <row r="2">
      <c r="A2" s="2" t="inlineStr">
        <is>
          <t>Q001</t>
        </is>
      </c>
      <c r="B2" s="2" t="n">
        <v>1</v>
      </c>
      <c r="C2" s="2" t="inlineStr">
        <is>
          <t>CASE_005</t>
        </is>
      </c>
      <c r="D2" s="2" t="inlineStr">
        <is>
          <t>新易盛：2022年设立泰国基地，一二期已投产</t>
        </is>
      </c>
      <c r="E2" s="2" t="inlineStr">
        <is>
          <t>供应链布局</t>
        </is>
      </c>
      <c r="F2" s="2" t="inlineStr">
        <is>
          <t>B+</t>
        </is>
      </c>
      <c r="G2" s="2" t="n">
        <v>2</v>
      </c>
      <c r="H2" s="2" t="n">
        <v>1</v>
      </c>
      <c r="I2" s="3" t="n">
        <v>2</v>
      </c>
      <c r="J2" s="3" t="n">
        <v>1</v>
      </c>
      <c r="K2" s="2" t="inlineStr">
        <is>
          <t>新易盛泰国基地一二期已投产，直接案例</t>
        </is>
      </c>
      <c r="L2" s="2" t="inlineStr">
        <is>
          <t>国盛证券（经腾讯新闻转载）</t>
        </is>
      </c>
      <c r="M2" s="2" t="inlineStr">
        <is>
          <t>Company Intelligence</t>
        </is>
      </c>
      <c r="N2" s="2" t="inlineStr">
        <is>
          <t>supply_chain</t>
        </is>
      </c>
      <c r="O2" s="2" t="inlineStr">
        <is>
          <t>CASE_004; CASE_005; CASE_006; CASE_008</t>
        </is>
      </c>
      <c r="P2" s="2" t="inlineStr">
        <is>
          <t>我们正在评估把部分产能转移到泰国。现有企业案例显示，哪些中国制造企业已经在泰国建设或扩充产能？这些案例能为海外建厂节奏提供什么参考？</t>
        </is>
      </c>
      <c r="Q2" s="2" t="inlineStr">
        <is>
          <t>摘要 在过去几周的周报中，我们反复强调光模块行业正处于高景气周期，AI算力需求持续爆发推动高端光模块需求快速增长，供给将成为核心矛盾。 近期我们调研发现，头部厂商在大陆和泰国加速扩产，预计2026年一季度将迎来产能集中释放，驱动业绩进入新一轮爬坡期。 【算力需求强劲，瓶颈在于供给】 算力产业链正处于高景气周期，AI模型持续创新演进推动算力需求快速增长。 业绩全面超预期： 谷歌新一代大模型Gemini 3表现优异，Scaling Law持续有效； 英伟达发布三季度财报，业绩及指引全面超预期。 谷歌与英伟达的强势表现，共同印证了模型创新与算力建设正在形成相互</t>
        </is>
      </c>
    </row>
    <row r="3">
      <c r="A3" s="2" t="inlineStr">
        <is>
          <t>Q001</t>
        </is>
      </c>
      <c r="B3" s="2" t="n">
        <v>2</v>
      </c>
      <c r="C3" s="2" t="inlineStr">
        <is>
          <t>CASE_004</t>
        </is>
      </c>
      <c r="D3" s="2" t="inlineStr">
        <is>
          <t>中际旭创：泰国工厂产能与国内基本齐平</t>
        </is>
      </c>
      <c r="E3" s="2" t="inlineStr">
        <is>
          <t>供应链布局</t>
        </is>
      </c>
      <c r="F3" s="2" t="inlineStr">
        <is>
          <t>B+</t>
        </is>
      </c>
      <c r="G3" s="2" t="n">
        <v>2</v>
      </c>
      <c r="H3" s="2" t="n">
        <v>1</v>
      </c>
      <c r="I3" s="3" t="n">
        <v>2</v>
      </c>
      <c r="J3" s="3" t="n">
        <v>1</v>
      </c>
      <c r="K3" s="2" t="inlineStr">
        <is>
          <t>中际旭创泰国工厂产能与国内齐平，直接案例</t>
        </is>
      </c>
      <c r="L3" s="2" t="inlineStr">
        <is>
          <t>国盛证券（经腾讯新闻转载）</t>
        </is>
      </c>
      <c r="M3" s="2" t="inlineStr">
        <is>
          <t>Company Intelligence</t>
        </is>
      </c>
      <c r="N3" s="2" t="inlineStr">
        <is>
          <t>supply_chain</t>
        </is>
      </c>
      <c r="O3" s="2" t="inlineStr">
        <is>
          <t>CASE_004; CASE_005; CASE_006; CASE_008</t>
        </is>
      </c>
      <c r="P3" s="2" t="inlineStr">
        <is>
          <t>我们正在评估把部分产能转移到泰国。现有企业案例显示，哪些中国制造企业已经在泰国建设或扩充产能？这些案例能为海外建厂节奏提供什么参考？</t>
        </is>
      </c>
      <c r="Q3" s="2" t="inlineStr">
        <is>
          <t>摘要 在过去几周的周报中，我们反复强调光模块行业正处于高景气周期，AI算力需求持续爆发推动高端光模块需求快速增长，供给将成为核心矛盾。 近期我们调研发现，头部厂商在大陆和泰国加速扩产，预计2026年一季度将迎来产能集中释放，驱动业绩进入新一轮爬坡期。 【算力需求强劲，瓶颈在于供给】 算力产业链正处于高景气周期，AI模型持续创新演进推动算力需求快速增长。 业绩全面超预期： 谷歌新一代大模型Gemini 3表现优异，Scaling Law持续有效； 英伟达发布三季度财报，业绩及指引全面超预期。 谷歌与英伟达的强势表现，共同印证了模型创新与算力建设正在形成相互</t>
        </is>
      </c>
    </row>
    <row r="4">
      <c r="A4" s="2" t="inlineStr">
        <is>
          <t>Q001</t>
        </is>
      </c>
      <c r="B4" s="2" t="n">
        <v>3</v>
      </c>
      <c r="C4" s="2" t="inlineStr">
        <is>
          <t>CASE_001</t>
        </is>
      </c>
      <c r="D4" s="2" t="inlineStr">
        <is>
          <t>Dawang Metals：客户订单转移印度后回流，企业放弃海外建厂</t>
        </is>
      </c>
      <c r="E4" s="2" t="inlineStr">
        <is>
          <t>供应链布局</t>
        </is>
      </c>
      <c r="F4" s="2" t="inlineStr">
        <is>
          <t>B+</t>
        </is>
      </c>
      <c r="G4" s="2" t="n">
        <v>1</v>
      </c>
      <c r="H4" s="2" t="n">
        <v>1</v>
      </c>
      <c r="I4" s="3" t="n">
        <v>1</v>
      </c>
      <c r="J4" s="3" t="n">
        <v>1</v>
      </c>
      <c r="K4" s="2" t="inlineStr">
        <is>
          <t>Dawang Metals 为订单转印度后回流案例，可作建厂节奏反向参照，但非泰国布局</t>
        </is>
      </c>
      <c r="L4" s="2" t="inlineStr">
        <is>
          <t>路透社（Reuters）</t>
        </is>
      </c>
      <c r="M4" s="2" t="inlineStr">
        <is>
          <t>Company Intelligence</t>
        </is>
      </c>
      <c r="N4" s="2" t="inlineStr">
        <is>
          <t>supply_chain</t>
        </is>
      </c>
      <c r="O4" s="2" t="inlineStr">
        <is>
          <t>CASE_004; CASE_005; CASE_006; CASE_008</t>
        </is>
      </c>
      <c r="P4" s="2" t="inlineStr">
        <is>
          <t>我们正在评估把部分产能转移到泰国。现有企业案例显示，哪些中国制造企业已经在泰国建设或扩充产能？这些案例能为海外建厂节奏提供什么参考？</t>
        </is>
      </c>
      <c r="Q4" s="2" t="inlineStr">
        <is>
          <t>Evidence ID: CASE_001 Title: Dawang Metals：客户订单转移印度后回流，企业放弃海外建厂 Publisher: 路透社（Reuters） Country/Jurisdiction: CN / National Publication date: 2026-09-14 Status: CURRENT Topic: 供应链布局 Applicability scope: GENERAL Related industries: 金属铸造 Key finding: 路透原文《Companies left China to do</t>
        </is>
      </c>
    </row>
    <row r="5">
      <c r="A5" s="2" t="inlineStr">
        <is>
          <t>Q001</t>
        </is>
      </c>
      <c r="B5" s="2" t="n">
        <v>4</v>
      </c>
      <c r="C5" s="2" t="inlineStr">
        <is>
          <t>CASE_006</t>
        </is>
      </c>
      <c r="D5" s="2" t="inlineStr">
        <is>
          <t>天孚通信：泰国一期投产、二期2025年投入使用</t>
        </is>
      </c>
      <c r="E5" s="2" t="inlineStr">
        <is>
          <t>供应链布局</t>
        </is>
      </c>
      <c r="F5" s="2" t="inlineStr">
        <is>
          <t>B+</t>
        </is>
      </c>
      <c r="G5" s="2" t="n">
        <v>2</v>
      </c>
      <c r="H5" s="2" t="n">
        <v>1</v>
      </c>
      <c r="I5" s="3" t="n">
        <v>2</v>
      </c>
      <c r="J5" s="3" t="n">
        <v>1</v>
      </c>
      <c r="K5" s="2" t="inlineStr">
        <is>
          <t>天孚通信泰国一期投产、二期2025启用，直接案例</t>
        </is>
      </c>
      <c r="L5" s="2" t="inlineStr">
        <is>
          <t>国盛证券（经腾讯新闻转载）</t>
        </is>
      </c>
      <c r="M5" s="2" t="inlineStr">
        <is>
          <t>Company Intelligence</t>
        </is>
      </c>
      <c r="N5" s="2" t="inlineStr">
        <is>
          <t>supply_chain</t>
        </is>
      </c>
      <c r="O5" s="2" t="inlineStr">
        <is>
          <t>CASE_004; CASE_005; CASE_006; CASE_008</t>
        </is>
      </c>
      <c r="P5" s="2" t="inlineStr">
        <is>
          <t>我们正在评估把部分产能转移到泰国。现有企业案例显示，哪些中国制造企业已经在泰国建设或扩充产能？这些案例能为海外建厂节奏提供什么参考？</t>
        </is>
      </c>
      <c r="Q5" s="2" t="inlineStr">
        <is>
          <t>摘要 在过去几周的周报中，我们反复强调光模块行业正处于高景气周期，AI算力需求持续爆发推动高端光模块需求快速增长，供给将成为核心矛盾。 近期我们调研发现，头部厂商在大陆和泰国加速扩产，预计2026年一季度将迎来产能集中释放，驱动业绩进入新一轮爬坡期。 【算力需求强劲，瓶颈在于供给】 算力产业链正处于高景气周期，AI模型持续创新演进推动算力需求快速增长。 业绩全面超预期： 谷歌新一代大模型Gemini 3表现优异，Scaling Law持续有效； 英伟达发布三季度财报，业绩及指引全面超预期。 谷歌与英伟达的强势表现，共同印证了模型创新与算力建设正在形成相互</t>
        </is>
      </c>
    </row>
    <row r="6">
      <c r="A6" s="2" t="inlineStr">
        <is>
          <t>Q001</t>
        </is>
      </c>
      <c r="B6" s="2" t="n">
        <v>5</v>
      </c>
      <c r="C6" s="2" t="inlineStr">
        <is>
          <t>CASE_008</t>
        </is>
      </c>
      <c r="D6" s="2" t="inlineStr">
        <is>
          <t>光模块厂商选择东南亚建厂以规避与欧美客户合作风险（中际旭创互动平台回复等）</t>
        </is>
      </c>
      <c r="E6" s="2" t="inlineStr">
        <is>
          <t>供应链布局</t>
        </is>
      </c>
      <c r="F6" s="2" t="inlineStr">
        <is>
          <t>B+</t>
        </is>
      </c>
      <c r="G6" s="2" t="n">
        <v>2</v>
      </c>
      <c r="H6" s="2" t="n">
        <v>1</v>
      </c>
      <c r="I6" s="3" t="n">
        <v>2</v>
      </c>
      <c r="J6" s="3" t="n">
        <v>1</v>
      </c>
      <c r="K6" s="2" t="inlineStr">
        <is>
          <t>光模块厂商东南亚建厂以规避欧美客户合作风险，直接说明泰国布局</t>
        </is>
      </c>
      <c r="L6" s="2" t="inlineStr">
        <is>
          <t>中国基金报</t>
        </is>
      </c>
      <c r="M6" s="2" t="inlineStr">
        <is>
          <t>Company Intelligence</t>
        </is>
      </c>
      <c r="N6" s="2" t="inlineStr">
        <is>
          <t>supply_chain</t>
        </is>
      </c>
      <c r="O6" s="2" t="inlineStr">
        <is>
          <t>CASE_004; CASE_005; CASE_006; CASE_008</t>
        </is>
      </c>
      <c r="P6" s="2" t="inlineStr">
        <is>
          <t>我们正在评估把部分产能转移到泰国。现有企业案例显示，哪些中国制造企业已经在泰国建设或扩充产能？这些案例能为海外建厂节奏提供什么参考？</t>
        </is>
      </c>
      <c r="Q6" s="2" t="inlineStr">
        <is>
          <t>中国基金报记者 文夕 全球科技巨头持续加码算力，光模块环节厂商已成最大赢家之一。 7月14日，市值超1600亿元的全球光模块龙头中际旭创披露了一份“炸裂”的半年业绩预告。 数据显示，中际旭创预计上半年实现归母净利润21. 5亿元-25亿元，增长幅度上限超300%，而业绩下限水平甚至已可比肩去年全年。 半年业绩或超去年全年 中际旭创业绩预告显示，该公司预计上半年实现净利润21. 5亿元-25亿元，同比增长250. 3%-307. 33%。 而且，中际旭创还称，今年上半年确认股权激励费用减少公司合并净利润约9300万元。 对于上半年业绩大幅增长，中际旭创解释</t>
        </is>
      </c>
    </row>
    <row r="7">
      <c r="A7" s="2" t="inlineStr">
        <is>
          <t>Q002</t>
        </is>
      </c>
      <c r="B7" s="2" t="n">
        <v>1</v>
      </c>
      <c r="C7" s="2" t="inlineStr">
        <is>
          <t>CASE_007</t>
        </is>
      </c>
      <c r="D7" s="2" t="inlineStr">
        <is>
          <t>华工正源：马来西亚工厂，公开表述为规避地缘风险</t>
        </is>
      </c>
      <c r="E7" s="2" t="inlineStr">
        <is>
          <t>供应链布局</t>
        </is>
      </c>
      <c r="F7" s="2" t="inlineStr">
        <is>
          <t>B+</t>
        </is>
      </c>
      <c r="G7" s="2" t="n">
        <v>2</v>
      </c>
      <c r="H7" s="2" t="n">
        <v>1</v>
      </c>
      <c r="I7" s="3" t="n">
        <v>2</v>
      </c>
      <c r="J7" s="3" t="n">
        <v>1</v>
      </c>
      <c r="K7" s="2" t="inlineStr">
        <is>
          <t>华工正源马来西亚工厂，公开表述为规避地缘风险，直接案例</t>
        </is>
      </c>
      <c r="L7" s="2" t="inlineStr">
        <is>
          <t>C114通信网</t>
        </is>
      </c>
      <c r="M7" s="2" t="inlineStr">
        <is>
          <t>Company Intelligence</t>
        </is>
      </c>
      <c r="N7" s="2" t="inlineStr">
        <is>
          <t>supply_chain</t>
        </is>
      </c>
      <c r="O7" s="2" t="inlineStr">
        <is>
          <t>CASE_007; CASE_008; CASE_010</t>
        </is>
      </c>
      <c r="P7" s="2" t="inlineStr">
        <is>
          <t>如果管理层想了解中国企业在马来西亚布局以降低地缘风险的公开案例，以及美国官方对马来西亚转运/原产地风险的判断，现有证据库里有哪些直接证据可参考？</t>
        </is>
      </c>
      <c r="Q7" s="2" t="inlineStr">
        <is>
          <t>资讯 视频 6G 光通信 物联网 量子通信 卫星互联网 数智低空 Cloud&amp;AI 政策 运营商 设备商 终端 财经 市场 会展 直播 2026/3/25 16:29 2026十大光模块厂商，光模块厂商有哪些 C114通信网 26 1 2026年，随着 AI 算力需求持续爆发与全球数据中心带宽升级加速，光模块行业迎来“800G普及+1. 6T放量”的双轮驱动阶段。 据行业预测，2026年全球800G光模块需求量有望突破4000万只，1. 6T需求亦进入商业化元年。 在这场高速光互联的竞逐中，中国光模块厂商凭借技术突破与产能优势占据全球主导地位。 本文综合</t>
        </is>
      </c>
    </row>
    <row r="8">
      <c r="A8" s="2" t="inlineStr">
        <is>
          <t>Q002</t>
        </is>
      </c>
      <c r="B8" s="2" t="n">
        <v>2</v>
      </c>
      <c r="C8" s="2" t="inlineStr">
        <is>
          <t>CASE_010</t>
        </is>
      </c>
      <c r="D8" s="2" t="inlineStr">
        <is>
          <t>白宫点名东南亚为非法转运高风险地区，并推出AI执法工具</t>
        </is>
      </c>
      <c r="E8" s="2" t="inlineStr">
        <is>
          <t>原产地与转运</t>
        </is>
      </c>
      <c r="F8" s="2" t="inlineStr">
        <is>
          <t>S</t>
        </is>
      </c>
      <c r="G8" s="2" t="n">
        <v>2</v>
      </c>
      <c r="H8" s="2" t="n">
        <v>2</v>
      </c>
      <c r="I8" s="3" t="n">
        <v>2</v>
      </c>
      <c r="J8" s="3" t="n">
        <v>2</v>
      </c>
      <c r="K8" s="2" t="inlineStr">
        <is>
          <t>白宫点名东南亚（含马来西亚）为转运高风险，美国官方判断</t>
        </is>
      </c>
      <c r="L8" s="2" t="inlineStr">
        <is>
          <t>美国白宫（经律所解读）</t>
        </is>
      </c>
      <c r="M8" s="2" t="inlineStr">
        <is>
          <t>Company Intelligence</t>
        </is>
      </c>
      <c r="N8" s="2" t="inlineStr">
        <is>
          <t>supply_chain</t>
        </is>
      </c>
      <c r="O8" s="2" t="inlineStr">
        <is>
          <t>CASE_007; CASE_008; CASE_010</t>
        </is>
      </c>
      <c r="P8" s="2" t="inlineStr">
        <is>
          <t>如果管理层想了解中国企业在马来西亚布局以降低地缘风险的公开案例，以及美国官方对马来西亚转运/原产地风险的判断，现有证据库里有哪些直接证据可参考？</t>
        </is>
      </c>
      <c r="Q8" s="2" t="inlineStr">
        <is>
          <t>Evidence ID: CASE_010 Title: 白宫点名东南亚为非法转运高风险地区，并推出AI执法工具 Publisher: 美国白宫（经律所解读） Country/Jurisdiction: US / Federal Publication date: 2026-08-13 Status: CURRENT Topic: 原产地与转运 Applicability scope: GENERAL Related industries: 通用 Key finding: 由WH_001与WH_002组成。对已在越南/泰国/马来西亚布局的企业，原产地举证</t>
        </is>
      </c>
    </row>
    <row r="9">
      <c r="A9" s="2" t="inlineStr">
        <is>
          <t>Q002</t>
        </is>
      </c>
      <c r="B9" s="2" t="n">
        <v>3</v>
      </c>
      <c r="C9" s="2" t="inlineStr">
        <is>
          <t>CASE_003</t>
        </is>
      </c>
      <c r="D9" s="2" t="inlineStr">
        <is>
          <t>同一反规避调查中被认定“未规避”的企业（Hanwha、Jinko马来西亚、Boviet越南）</t>
        </is>
      </c>
      <c r="E9" s="2" t="inlineStr">
        <is>
          <t>反规避</t>
        </is>
      </c>
      <c r="F9" s="2" t="inlineStr">
        <is>
          <t>S</t>
        </is>
      </c>
      <c r="G9" s="2" t="n">
        <v>0</v>
      </c>
      <c r="H9" s="2" t="n">
        <v>2</v>
      </c>
      <c r="I9" s="3" t="n">
        <v>2</v>
      </c>
      <c r="J9" s="3" t="n">
        <v>2</v>
      </c>
      <c r="K9" s="2" t="inlineStr">
        <is>
          <t>美国商务部反规避认定（含马来西亚企业），直接反映美方对马来西亚原产地的官方判断 ｜ 人工判定与Auto(0)不同，请复核</t>
        </is>
      </c>
      <c r="L9" s="2" t="inlineStr">
        <is>
          <t>美国商务部（经律所解读）</t>
        </is>
      </c>
      <c r="M9" s="2" t="inlineStr">
        <is>
          <t>Company Intelligence</t>
        </is>
      </c>
      <c r="N9" s="2" t="inlineStr">
        <is>
          <t>supply_chain</t>
        </is>
      </c>
      <c r="O9" s="2" t="inlineStr">
        <is>
          <t>CASE_007; CASE_008; CASE_010</t>
        </is>
      </c>
      <c r="P9" s="2" t="inlineStr">
        <is>
          <t>如果管理层想了解中国企业在马来西亚布局以降低地缘风险的公开案例，以及美国官方对马来西亚转运/原产地风险的判断，现有证据库里有哪些直接证据可参考？</t>
        </is>
      </c>
      <c r="Q9" s="2" t="inlineStr">
        <is>
          <t>Evidence ID: CASE_003 Title: 同一反规避调查中被认定“未规避”的企业（Hanwha、Jinko马来西亚、Boviet越南） Publisher: 美国商务部（经律所解读） Country/Jurisdiction: 马来西亚/越南 Publication date: 2023-08-18 Status: CURRENT Topic: 反规避 Applicability scope: GENERAL Related industries: 光伏 Key finding: 与CASE_002构成对照：同一规则下，供应链结构不同导致</t>
        </is>
      </c>
    </row>
    <row r="10">
      <c r="A10" s="2" t="inlineStr">
        <is>
          <t>Q002</t>
        </is>
      </c>
      <c r="B10" s="2" t="n">
        <v>4</v>
      </c>
      <c r="C10" s="2" t="inlineStr">
        <is>
          <t>CASE_002</t>
        </is>
      </c>
      <c r="D10" s="2" t="inlineStr">
        <is>
          <t>美国对东南亚四国光伏产品反规避认定：视为中国原产并适用对华双反</t>
        </is>
      </c>
      <c r="E10" s="2" t="inlineStr">
        <is>
          <t>反规避</t>
        </is>
      </c>
      <c r="F10" s="2" t="inlineStr">
        <is>
          <t>S</t>
        </is>
      </c>
      <c r="G10" s="2" t="n">
        <v>0</v>
      </c>
      <c r="H10" s="2" t="n">
        <v>2</v>
      </c>
      <c r="I10" s="3" t="n">
        <v>2</v>
      </c>
      <c r="J10" s="3" t="n">
        <v>2</v>
      </c>
      <c r="K10" s="2" t="inlineStr">
        <is>
          <t>美国商务部认定东南亚四国光伏视为中国原产，直接反映美方对马来西亚原产地的官方判断 ｜ 人工判定与Auto(0)不同，请复核</t>
        </is>
      </c>
      <c r="L10" s="2" t="inlineStr">
        <is>
          <t>美国商务部（经律所解读）</t>
        </is>
      </c>
      <c r="M10" s="2" t="inlineStr">
        <is>
          <t>Company Intelligence</t>
        </is>
      </c>
      <c r="N10" s="2" t="inlineStr">
        <is>
          <t>supply_chain</t>
        </is>
      </c>
      <c r="O10" s="2" t="inlineStr">
        <is>
          <t>CASE_007; CASE_008; CASE_010</t>
        </is>
      </c>
      <c r="P10" s="2" t="inlineStr">
        <is>
          <t>如果管理层想了解中国企业在马来西亚布局以降低地缘风险的公开案例，以及美国官方对马来西亚转运/原产地风险的判断，现有证据库里有哪些直接证据可参考？</t>
        </is>
      </c>
      <c r="Q10" s="2" t="inlineStr">
        <is>
          <t>Evidence ID: CASE_002 Title: 美国对东南亚四国光伏产品反规避认定：视为中国原产并适用对华双反 Publisher: 美国商务部（经律所解读） Country/Jurisdiction: 柬埔寨/马来西亚/泰国/越南 Publication date: 2023-08-18 Status: CURRENT Topic: 反规避 Applicability scope: GENERAL Related industries: 光伏 Key finding: 2022年4月立案，2023年8月终裁。使用中国组件在东南亚完成的电池和组</t>
        </is>
      </c>
    </row>
    <row r="11">
      <c r="A11" s="2" t="inlineStr">
        <is>
          <t>Q002</t>
        </is>
      </c>
      <c r="B11" s="2" t="n">
        <v>5</v>
      </c>
      <c r="C11" s="2" t="inlineStr">
        <is>
          <t>TRD_003</t>
        </is>
      </c>
      <c r="D11" s="2" t="inlineStr">
        <is>
          <t>中国对越南、泰国、马来西亚出口 HS 8541/8542（中间品），2018–2025年度</t>
        </is>
      </c>
      <c r="E11" s="2" t="inlineStr">
        <is>
          <t>贸易流</t>
        </is>
      </c>
      <c r="F11" s="2" t="inlineStr">
        <is>
          <t>A+</t>
        </is>
      </c>
      <c r="G11" s="2" t="n">
        <v>1</v>
      </c>
      <c r="H11" s="2" t="n">
        <v>2</v>
      </c>
      <c r="I11" s="3" t="n">
        <v>1</v>
      </c>
      <c r="J11" s="3" t="n">
        <v>2</v>
      </c>
      <c r="K11" s="2" t="inlineStr">
        <is>
          <t>中国对马/越/泰中间品出口数据，间接支持企业马来西亚布局判断</t>
        </is>
      </c>
      <c r="L11" s="2" t="inlineStr">
        <is>
          <t>联合国商品贸易统计数据库（UN Comtrade）</t>
        </is>
      </c>
      <c r="M11" s="2" t="inlineStr">
        <is>
          <t>Company Intelligence</t>
        </is>
      </c>
      <c r="N11" s="2" t="inlineStr">
        <is>
          <t>supply_chain</t>
        </is>
      </c>
      <c r="O11" s="2" t="inlineStr">
        <is>
          <t>CASE_007; CASE_008; CASE_010</t>
        </is>
      </c>
      <c r="P11" s="2" t="inlineStr">
        <is>
          <t>如果管理层想了解中国企业在马来西亚布局以降低地缘风险的公开案例，以及美国官方对马来西亚转运/原产地风险的判断，现有证据库里有哪些直接证据可参考？</t>
        </is>
      </c>
      <c r="Q11" s="2" t="inlineStr">
        <is>
          <t>Evidence ID: TRD_003 Title: 中国对越南、泰国、马来西亚出口 HS 8541/8542（中间品），2018–2025年度 Publisher: 联合国商品贸易统计数据库（UN Comtrade） Country/Jurisdiction: CN / National Publication date: 持续更新 Status: CURRENT Topic: 贸易流 Applicability scope: GENERAL Related industries: ◆电子/光电 Key finding: 看东南亚产能是否依赖中国中间</t>
        </is>
      </c>
    </row>
    <row r="12">
      <c r="A12" s="2" t="inlineStr">
        <is>
          <t>Q003</t>
        </is>
      </c>
      <c r="B12" s="2" t="n">
        <v>1</v>
      </c>
      <c r="C12" s="2" t="inlineStr">
        <is>
          <t>CASE_001</t>
        </is>
      </c>
      <c r="D12" s="2" t="inlineStr">
        <is>
          <t>Dawang Metals：客户订单转移印度后回流，企业放弃海外建厂</t>
        </is>
      </c>
      <c r="E12" s="2" t="inlineStr">
        <is>
          <t>供应链布局</t>
        </is>
      </c>
      <c r="F12" s="2" t="inlineStr">
        <is>
          <t>B+</t>
        </is>
      </c>
      <c r="G12" s="2" t="n">
        <v>2</v>
      </c>
      <c r="H12" s="2" t="n">
        <v>1</v>
      </c>
      <c r="I12" s="3" t="n">
        <v>2</v>
      </c>
      <c r="J12" s="3" t="n">
        <v>1</v>
      </c>
      <c r="K12" s="2" t="inlineStr">
        <is>
          <t>订单转印度后回流并放弃海外建厂，直接实例</t>
        </is>
      </c>
      <c r="L12" s="2" t="inlineStr">
        <is>
          <t>路透社（Reuters）</t>
        </is>
      </c>
      <c r="M12" s="2" t="inlineStr">
        <is>
          <t>Company Intelligence</t>
        </is>
      </c>
      <c r="N12" s="2" t="inlineStr">
        <is>
          <t>supply_chain</t>
        </is>
      </c>
      <c r="O12" s="2" t="inlineStr">
        <is>
          <t>CASE_001; CASE_002; CASE_003</t>
        </is>
      </c>
      <c r="P12" s="2" t="inlineStr">
        <is>
          <t>我们想判断企业是否会因为关税规避型海外迁移效果不佳而回流中国。现有案例中有没有订单先转移海外、随后回流并放弃海外建厂的实例？</t>
        </is>
      </c>
      <c r="Q12" s="2" t="inlineStr">
        <is>
          <t>Evidence ID: CASE_001 Title: Dawang Metals：客户订单转移印度后回流，企业放弃海外建厂 Publisher: 路透社（Reuters） Country/Jurisdiction: CN / National Publication date: 2026-09-14 Status: CURRENT Topic: 供应链布局 Applicability scope: GENERAL Related industries: 金属铸造 Key finding: 路透原文《Companies left China to do</t>
        </is>
      </c>
    </row>
    <row r="13">
      <c r="A13" s="2" t="inlineStr">
        <is>
          <t>Q003</t>
        </is>
      </c>
      <c r="B13" s="2" t="n">
        <v>2</v>
      </c>
      <c r="C13" s="2" t="inlineStr">
        <is>
          <t>CASE_008</t>
        </is>
      </c>
      <c r="D13" s="2" t="inlineStr">
        <is>
          <t>光模块厂商选择东南亚建厂以规避与欧美客户合作风险（中际旭创互动平台回复等）</t>
        </is>
      </c>
      <c r="E13" s="2" t="inlineStr">
        <is>
          <t>供应链布局</t>
        </is>
      </c>
      <c r="F13" s="2" t="inlineStr">
        <is>
          <t>B+</t>
        </is>
      </c>
      <c r="G13" s="2" t="n">
        <v>1</v>
      </c>
      <c r="H13" s="2" t="n">
        <v>1</v>
      </c>
      <c r="I13" s="3" t="n">
        <v>1</v>
      </c>
      <c r="J13" s="3" t="n">
        <v>1</v>
      </c>
      <c r="K13" s="2" t="inlineStr">
        <is>
          <t>东南亚建厂规避风险案例，与「回流中国」方向相反，仅作同类布局参照</t>
        </is>
      </c>
      <c r="L13" s="2" t="inlineStr">
        <is>
          <t>中国基金报</t>
        </is>
      </c>
      <c r="M13" s="2" t="inlineStr">
        <is>
          <t>Company Intelligence</t>
        </is>
      </c>
      <c r="N13" s="2" t="inlineStr">
        <is>
          <t>supply_chain</t>
        </is>
      </c>
      <c r="O13" s="2" t="inlineStr">
        <is>
          <t>CASE_001; CASE_002; CASE_003</t>
        </is>
      </c>
      <c r="P13" s="2" t="inlineStr">
        <is>
          <t>我们想判断企业是否会因为关税规避型海外迁移效果不佳而回流中国。现有案例中有没有订单先转移海外、随后回流并放弃海外建厂的实例？</t>
        </is>
      </c>
      <c r="Q13" s="2" t="inlineStr">
        <is>
          <t>Evidence ID: CASE_008 Title: 光模块厂商选择东南亚建厂以规避与欧美客户合作风险（中际旭创互动平台回复等） Publisher: 中国基金报 Country/Jurisdiction: CN / National Publication date: 2024-07-14 Status: CURRENT Topic: 供应链布局 Applicability scope: GENERAL Related industries: 光模块 Key finding: 文中引用中际旭创互动平台回复，可据此到互动易查原始问答，升级为一手证据。</t>
        </is>
      </c>
    </row>
    <row r="14">
      <c r="A14" s="2" t="inlineStr">
        <is>
          <t>Q003</t>
        </is>
      </c>
      <c r="B14" s="2" t="n">
        <v>3</v>
      </c>
      <c r="C14" s="2" t="inlineStr">
        <is>
          <t>CASE_007</t>
        </is>
      </c>
      <c r="D14" s="2" t="inlineStr">
        <is>
          <t>华工正源：马来西亚工厂，公开表述为规避地缘风险</t>
        </is>
      </c>
      <c r="E14" s="2" t="inlineStr">
        <is>
          <t>供应链布局</t>
        </is>
      </c>
      <c r="F14" s="2" t="inlineStr">
        <is>
          <t>B+</t>
        </is>
      </c>
      <c r="G14" s="2" t="n">
        <v>1</v>
      </c>
      <c r="H14" s="2" t="n">
        <v>1</v>
      </c>
      <c r="I14" s="3" t="n">
        <v>1</v>
      </c>
      <c r="J14" s="3" t="n">
        <v>1</v>
      </c>
      <c r="K14" s="2" t="inlineStr">
        <is>
          <t>马来西亚工厂案例，与「回流中国」方向相反，仅作同类布局参照</t>
        </is>
      </c>
      <c r="L14" s="2" t="inlineStr">
        <is>
          <t>C114通信网</t>
        </is>
      </c>
      <c r="M14" s="2" t="inlineStr">
        <is>
          <t>Company Intelligence</t>
        </is>
      </c>
      <c r="N14" s="2" t="inlineStr">
        <is>
          <t>supply_chain</t>
        </is>
      </c>
      <c r="O14" s="2" t="inlineStr">
        <is>
          <t>CASE_001; CASE_002; CASE_003</t>
        </is>
      </c>
      <c r="P14" s="2" t="inlineStr">
        <is>
          <t>我们想判断企业是否会因为关税规避型海外迁移效果不佳而回流中国。现有案例中有没有订单先转移海外、随后回流并放弃海外建厂的实例？</t>
        </is>
      </c>
      <c r="Q14" s="2" t="inlineStr">
        <is>
          <t>在AI算力基础设施持续扩张的背景下，具备高速率产品量产能力、全球化交付能力与核心器件自研能力的厂商，将在下一阶段竞争中占据主动。 对于下游客户而言，根据自身场景需求在“规模稳定”、“性价比”、“行业定制”三者之间做出选择，已成为当前光模块采购决策的关键。 C114中国通信网版权说明：凡注明来源为“C114通信网”的文章皆属C114版权所有，除与C114签署内容授权协议的单位外，其他单位未经允许禁止转载、摘编，违者必究。 如需使用，请联系021-54451141（汪先生）。 其中编译类仅出于传递更多信息之目的，系C114对海外相关站点最新信息的翻译稿，仅供</t>
        </is>
      </c>
    </row>
    <row r="15">
      <c r="A15" s="2" t="inlineStr">
        <is>
          <t>Q003</t>
        </is>
      </c>
      <c r="B15" s="2" t="n">
        <v>4</v>
      </c>
      <c r="C15" s="2" t="inlineStr">
        <is>
          <t>CASE_004</t>
        </is>
      </c>
      <c r="D15" s="2" t="inlineStr">
        <is>
          <t>中际旭创：泰国工厂产能与国内基本齐平</t>
        </is>
      </c>
      <c r="E15" s="2" t="inlineStr">
        <is>
          <t>供应链布局</t>
        </is>
      </c>
      <c r="F15" s="2" t="inlineStr">
        <is>
          <t>B+</t>
        </is>
      </c>
      <c r="G15" s="2" t="n">
        <v>1</v>
      </c>
      <c r="H15" s="2" t="n">
        <v>1</v>
      </c>
      <c r="I15" s="3" t="n">
        <v>1</v>
      </c>
      <c r="J15" s="3" t="n">
        <v>1</v>
      </c>
      <c r="K15" s="2" t="inlineStr">
        <is>
          <t>泰国工厂案例，与「回流中国」方向相反，仅作同类布局参照</t>
        </is>
      </c>
      <c r="L15" s="2" t="inlineStr">
        <is>
          <t>国盛证券（经腾讯新闻转载）</t>
        </is>
      </c>
      <c r="M15" s="2" t="inlineStr">
        <is>
          <t>Company Intelligence</t>
        </is>
      </c>
      <c r="N15" s="2" t="inlineStr">
        <is>
          <t>supply_chain</t>
        </is>
      </c>
      <c r="O15" s="2" t="inlineStr">
        <is>
          <t>CASE_001; CASE_002; CASE_003</t>
        </is>
      </c>
      <c r="P15" s="2" t="inlineStr">
        <is>
          <t>我们想判断企业是否会因为关税规避型海外迁移效果不佳而回流中国。现有案例中有没有订单先转移海外、随后回流并放弃海外建厂的实例？</t>
        </is>
      </c>
      <c r="Q15" s="2" t="inlineStr">
        <is>
          <t>截至9月30日，阿里云在全球29个地区运营着91个可用区，并宣布在巴西、法国和荷兰新建数据中心。 同时，阿里上线千问App，向AI to C领域发力。 公测版APP上线一周的下载量已超1000万。 未来，千问还将陆续接入电商、地图、本地生活等阿里业务生态场景。 在财报电话会上，阿里巴巴高管表示，目前看到客户对AI的需求非常旺盛，阿里云AI服务器上架节奏其实还是严重跟不上客户订单的增长速度，在手积压订单数量还在持续扩大。 8. 中国首个光量子计算机制造工厂！ 从“艺术品”到“工业品”蜕变 据C114报道，11月24日，“国际量子年大湾区活动周”主题活动——</t>
        </is>
      </c>
    </row>
    <row r="16">
      <c r="A16" s="2" t="inlineStr">
        <is>
          <t>Q003</t>
        </is>
      </c>
      <c r="B16" s="2" t="n">
        <v>5</v>
      </c>
      <c r="C16" s="2" t="inlineStr">
        <is>
          <t>CASE_006</t>
        </is>
      </c>
      <c r="D16" s="2" t="inlineStr">
        <is>
          <t>天孚通信：泰国一期投产、二期2025年投入使用</t>
        </is>
      </c>
      <c r="E16" s="2" t="inlineStr">
        <is>
          <t>供应链布局</t>
        </is>
      </c>
      <c r="F16" s="2" t="inlineStr">
        <is>
          <t>B+</t>
        </is>
      </c>
      <c r="G16" s="2" t="n">
        <v>1</v>
      </c>
      <c r="H16" s="2" t="n">
        <v>1</v>
      </c>
      <c r="I16" s="3" t="n">
        <v>1</v>
      </c>
      <c r="J16" s="3" t="n">
        <v>1</v>
      </c>
      <c r="K16" s="2" t="inlineStr">
        <is>
          <t>泰国工厂案例，与「回流中国」方向相反，仅作同类布局参照</t>
        </is>
      </c>
      <c r="L16" s="2" t="inlineStr">
        <is>
          <t>国盛证券（经腾讯新闻转载）</t>
        </is>
      </c>
      <c r="M16" s="2" t="inlineStr">
        <is>
          <t>Company Intelligence</t>
        </is>
      </c>
      <c r="N16" s="2" t="inlineStr">
        <is>
          <t>supply_chain</t>
        </is>
      </c>
      <c r="O16" s="2" t="inlineStr">
        <is>
          <t>CASE_001; CASE_002; CASE_003</t>
        </is>
      </c>
      <c r="P16" s="2" t="inlineStr">
        <is>
          <t>我们想判断企业是否会因为关税规避型海外迁移效果不佳而回流中国。现有案例中有没有订单先转移海外、随后回流并放弃海外建厂的实例？</t>
        </is>
      </c>
      <c r="Q16" s="2" t="inlineStr">
        <is>
          <t>截至9月30日，阿里云在全球29个地区运营着91个可用区，并宣布在巴西、法国和荷兰新建数据中心。 同时，阿里上线千问App，向AI to C领域发力。 公测版APP上线一周的下载量已超1000万。 未来，千问还将陆续接入电商、地图、本地生活等阿里业务生态场景。 在财报电话会上，阿里巴巴高管表示，目前看到客户对AI的需求非常旺盛，阿里云AI服务器上架节奏其实还是严重跟不上客户订单的增长速度，在手积压订单数量还在持续扩大。 8. 中国首个光量子计算机制造工厂！ 从“艺术品”到“工业品”蜕变 据C114报道，11月24日，“国际量子年大湾区活动周”主题活动——</t>
        </is>
      </c>
    </row>
    <row r="17">
      <c r="A17" s="2" t="inlineStr">
        <is>
          <t>Q004</t>
        </is>
      </c>
      <c r="B17" s="2" t="n">
        <v>1</v>
      </c>
      <c r="C17" s="2" t="inlineStr">
        <is>
          <t>CASE_008</t>
        </is>
      </c>
      <c r="D17" s="2" t="inlineStr">
        <is>
          <t>光模块厂商选择东南亚建厂以规避与欧美客户合作风险（中际旭创互动平台回复等）</t>
        </is>
      </c>
      <c r="E17" s="2" t="inlineStr">
        <is>
          <t>供应链布局</t>
        </is>
      </c>
      <c r="F17" s="2" t="inlineStr">
        <is>
          <t>B+</t>
        </is>
      </c>
      <c r="G17" s="2" t="n">
        <v>2</v>
      </c>
      <c r="H17" s="2" t="n">
        <v>1</v>
      </c>
      <c r="I17" s="3" t="n">
        <v>2</v>
      </c>
      <c r="J17" s="3" t="n">
        <v>1</v>
      </c>
      <c r="K17" s="2" t="inlineStr">
        <is>
          <t>东南亚建厂以规避与欧美客户合作风险，布局与客户关系直接说明</t>
        </is>
      </c>
      <c r="L17" s="2" t="inlineStr">
        <is>
          <t>中国基金报</t>
        </is>
      </c>
      <c r="M17" s="2" t="inlineStr">
        <is>
          <t>Company Intelligence</t>
        </is>
      </c>
      <c r="N17" s="2" t="inlineStr">
        <is>
          <t>supply_chain</t>
        </is>
      </c>
      <c r="O17" s="2" t="inlineStr">
        <is>
          <t>CASE_004; CASE_005; CASE_006; CASE_007; CASE_008</t>
        </is>
      </c>
      <c r="P17" s="2" t="inlineStr">
        <is>
          <t>对于计划在东南亚扩产、服务欧美客户的制造企业，现有企业案例如何说明海外工厂布局与客户合作/地缘风险之间的关系？</t>
        </is>
      </c>
      <c r="Q17" s="2" t="inlineStr">
        <is>
          <t>中国基金报记者 文夕 全球科技巨头持续加码算力，光模块环节厂商已成最大赢家之一。 7月14日，市值超1600亿元的全球光模块龙头中际旭创披露了一份“炸裂”的半年业绩预告。 数据显示，中际旭创预计上半年实现归母净利润21. 5亿元-25亿元，增长幅度上限超300%，而业绩下限水平甚至已可比肩去年全年。 半年业绩或超去年全年 中际旭创业绩预告显示，该公司预计上半年实现净利润21. 5亿元-25亿元，同比增长250. 3%-307. 33%。 而且，中际旭创还称，今年上半年确认股权激励费用减少公司合并净利润约9300万元。 对于上半年业绩大幅增长，中际旭创解释</t>
        </is>
      </c>
    </row>
    <row r="18">
      <c r="A18" s="2" t="inlineStr">
        <is>
          <t>Q004</t>
        </is>
      </c>
      <c r="B18" s="2" t="n">
        <v>2</v>
      </c>
      <c r="C18" s="2" t="inlineStr">
        <is>
          <t>CASE_007</t>
        </is>
      </c>
      <c r="D18" s="2" t="inlineStr">
        <is>
          <t>华工正源：马来西亚工厂，公开表述为规避地缘风险</t>
        </is>
      </c>
      <c r="E18" s="2" t="inlineStr">
        <is>
          <t>供应链布局</t>
        </is>
      </c>
      <c r="F18" s="2" t="inlineStr">
        <is>
          <t>B+</t>
        </is>
      </c>
      <c r="G18" s="2" t="n">
        <v>2</v>
      </c>
      <c r="H18" s="2" t="n">
        <v>1</v>
      </c>
      <c r="I18" s="3" t="n">
        <v>2</v>
      </c>
      <c r="J18" s="3" t="n">
        <v>1</v>
      </c>
      <c r="K18" s="2" t="inlineStr">
        <is>
          <t>马来西亚工厂公开表述为规避地缘风险，直接说明</t>
        </is>
      </c>
      <c r="L18" s="2" t="inlineStr">
        <is>
          <t>C114通信网</t>
        </is>
      </c>
      <c r="M18" s="2" t="inlineStr">
        <is>
          <t>Company Intelligence</t>
        </is>
      </c>
      <c r="N18" s="2" t="inlineStr">
        <is>
          <t>supply_chain</t>
        </is>
      </c>
      <c r="O18" s="2" t="inlineStr">
        <is>
          <t>CASE_004; CASE_005; CASE_006; CASE_007; CASE_008</t>
        </is>
      </c>
      <c r="P18" s="2" t="inlineStr">
        <is>
          <t>对于计划在东南亚扩产、服务欧美客户的制造企业，现有企业案例如何说明海外工厂布局与客户合作/地缘风险之间的关系？</t>
        </is>
      </c>
      <c r="Q18" s="2" t="inlineStr">
        <is>
          <t>在AI算力基础设施持续扩张的背景下，具备高速率产品量产能力、全球化交付能力与核心器件自研能力的厂商，将在下一阶段竞争中占据主动。 对于下游客户而言，根据自身场景需求在“规模稳定”、“性价比”、“行业定制”三者之间做出选择，已成为当前光模块采购决策的关键。 C114中国通信网版权说明：凡注明来源为“C114通信网”的文章皆属C114版权所有，除与C114签署内容授权协议的单位外，其他单位未经允许禁止转载、摘编，违者必究。 如需使用，请联系021-54451141（汪先生）。 其中编译类仅出于传递更多信息之目的，系C114对海外相关站点最新信息的翻译稿，仅供</t>
        </is>
      </c>
    </row>
    <row r="19">
      <c r="A19" s="2" t="inlineStr">
        <is>
          <t>Q004</t>
        </is>
      </c>
      <c r="B19" s="2" t="n">
        <v>3</v>
      </c>
      <c r="C19" s="2" t="inlineStr">
        <is>
          <t>CASE_004</t>
        </is>
      </c>
      <c r="D19" s="2" t="inlineStr">
        <is>
          <t>中际旭创：泰国工厂产能与国内基本齐平</t>
        </is>
      </c>
      <c r="E19" s="2" t="inlineStr">
        <is>
          <t>供应链布局</t>
        </is>
      </c>
      <c r="F19" s="2" t="inlineStr">
        <is>
          <t>B+</t>
        </is>
      </c>
      <c r="G19" s="2" t="n">
        <v>2</v>
      </c>
      <c r="H19" s="2" t="n">
        <v>1</v>
      </c>
      <c r="I19" s="3" t="n">
        <v>2</v>
      </c>
      <c r="J19" s="3" t="n">
        <v>1</v>
      </c>
      <c r="K19" s="2" t="inlineStr">
        <is>
          <t>泰国工厂产能与国内齐平，直接说明海外布局</t>
        </is>
      </c>
      <c r="L19" s="2" t="inlineStr">
        <is>
          <t>国盛证券（经腾讯新闻转载）</t>
        </is>
      </c>
      <c r="M19" s="2" t="inlineStr">
        <is>
          <t>Company Intelligence</t>
        </is>
      </c>
      <c r="N19" s="2" t="inlineStr">
        <is>
          <t>supply_chain</t>
        </is>
      </c>
      <c r="O19" s="2" t="inlineStr">
        <is>
          <t>CASE_004; CASE_005; CASE_006; CASE_007; CASE_008</t>
        </is>
      </c>
      <c r="P19" s="2" t="inlineStr">
        <is>
          <t>对于计划在东南亚扩产、服务欧美客户的制造企业，现有企业案例如何说明海外工厂布局与客户合作/地缘风险之间的关系？</t>
        </is>
      </c>
      <c r="Q19" s="2" t="inlineStr">
        <is>
          <t>玻色量子这座工厂的意义，不仅在于“造出一台量子计算机”，更在于建立了一套可复制、可扩展的量子硬件制造标准。 它标志着我国在量子计算从“实验室走向生产线”的关键一步，也为未来构建自主可控的量子产业链打下了坚实基础。 9. 谷歌TPU硬刚英伟达！ AI芯片市场从英伟达垄断转向多元化 据C114报道，当前全球AI大模型和芯片领域掀起新一轮军备竞赛。 美国白宫周一发布声明称，总统特朗普签署了一项行政命令，启动一项旨在利用AI变革科学研究方式、加速科学发现的全新国家计划“创世纪计划”。 在 AI大模型和芯片竞争背景下，对算力存在巨大需求。 谷歌近日发布了最新的大语</t>
        </is>
      </c>
    </row>
    <row r="20">
      <c r="A20" s="2" t="inlineStr">
        <is>
          <t>Q004</t>
        </is>
      </c>
      <c r="B20" s="2" t="n">
        <v>4</v>
      </c>
      <c r="C20" s="2" t="inlineStr">
        <is>
          <t>CASE_005</t>
        </is>
      </c>
      <c r="D20" s="2" t="inlineStr">
        <is>
          <t>新易盛：2022年设立泰国基地，一二期已投产</t>
        </is>
      </c>
      <c r="E20" s="2" t="inlineStr">
        <is>
          <t>供应链布局</t>
        </is>
      </c>
      <c r="F20" s="2" t="inlineStr">
        <is>
          <t>B+</t>
        </is>
      </c>
      <c r="G20" s="2" t="n">
        <v>2</v>
      </c>
      <c r="H20" s="2" t="n">
        <v>1</v>
      </c>
      <c r="I20" s="3" t="n">
        <v>2</v>
      </c>
      <c r="J20" s="3" t="n">
        <v>1</v>
      </c>
      <c r="K20" s="2" t="inlineStr">
        <is>
          <t>泰国基地服务海外客户，直接说明布局与客户关系</t>
        </is>
      </c>
      <c r="L20" s="2" t="inlineStr">
        <is>
          <t>国盛证券（经腾讯新闻转载）</t>
        </is>
      </c>
      <c r="M20" s="2" t="inlineStr">
        <is>
          <t>Company Intelligence</t>
        </is>
      </c>
      <c r="N20" s="2" t="inlineStr">
        <is>
          <t>supply_chain</t>
        </is>
      </c>
      <c r="O20" s="2" t="inlineStr">
        <is>
          <t>CASE_004; CASE_005; CASE_006; CASE_007; CASE_008</t>
        </is>
      </c>
      <c r="P20" s="2" t="inlineStr">
        <is>
          <t>对于计划在东南亚扩产、服务欧美客户的制造企业，现有企业案例如何说明海外工厂布局与客户合作/地缘风险之间的关系？</t>
        </is>
      </c>
      <c r="Q20" s="2" t="inlineStr">
        <is>
          <t>玻色量子这座工厂的意义，不仅在于“造出一台量子计算机”，更在于建立了一套可复制、可扩展的量子硬件制造标准。 它标志着我国在量子计算从“实验室走向生产线”的关键一步，也为未来构建自主可控的量子产业链打下了坚实基础。 9. 谷歌TPU硬刚英伟达！ AI芯片市场从英伟达垄断转向多元化 据C114报道，当前全球AI大模型和芯片领域掀起新一轮军备竞赛。 美国白宫周一发布声明称，总统特朗普签署了一项行政命令，启动一项旨在利用AI变革科学研究方式、加速科学发现的全新国家计划“创世纪计划”。 在 AI大模型和芯片竞争背景下，对算力存在巨大需求。 谷歌近日发布了最新的大语</t>
        </is>
      </c>
    </row>
    <row r="21">
      <c r="A21" s="2" t="inlineStr">
        <is>
          <t>Q004</t>
        </is>
      </c>
      <c r="B21" s="2" t="n">
        <v>5</v>
      </c>
      <c r="C21" s="2" t="inlineStr">
        <is>
          <t>CASE_006</t>
        </is>
      </c>
      <c r="D21" s="2" t="inlineStr">
        <is>
          <t>天孚通信：泰国一期投产、二期2025年投入使用</t>
        </is>
      </c>
      <c r="E21" s="2" t="inlineStr">
        <is>
          <t>供应链布局</t>
        </is>
      </c>
      <c r="F21" s="2" t="inlineStr">
        <is>
          <t>B+</t>
        </is>
      </c>
      <c r="G21" s="2" t="n">
        <v>2</v>
      </c>
      <c r="H21" s="2" t="n">
        <v>1</v>
      </c>
      <c r="I21" s="3" t="n">
        <v>2</v>
      </c>
      <c r="J21" s="3" t="n">
        <v>1</v>
      </c>
      <c r="K21" s="2" t="inlineStr">
        <is>
          <t>泰国一期投产、二期在建，直接说明海外布局</t>
        </is>
      </c>
      <c r="L21" s="2" t="inlineStr">
        <is>
          <t>国盛证券（经腾讯新闻转载）</t>
        </is>
      </c>
      <c r="M21" s="2" t="inlineStr">
        <is>
          <t>Company Intelligence</t>
        </is>
      </c>
      <c r="N21" s="2" t="inlineStr">
        <is>
          <t>supply_chain</t>
        </is>
      </c>
      <c r="O21" s="2" t="inlineStr">
        <is>
          <t>CASE_004; CASE_005; CASE_006; CASE_007; CASE_008</t>
        </is>
      </c>
      <c r="P21" s="2" t="inlineStr">
        <is>
          <t>对于计划在东南亚扩产、服务欧美客户的制造企业，现有企业案例如何说明海外工厂布局与客户合作/地缘风险之间的关系？</t>
        </is>
      </c>
      <c r="Q21" s="2" t="inlineStr">
        <is>
          <t>玻色量子这座工厂的意义，不仅在于“造出一台量子计算机”，更在于建立了一套可复制、可扩展的量子硬件制造标准。 它标志着我国在量子计算从“实验室走向生产线”的关键一步，也为未来构建自主可控的量子产业链打下了坚实基础。 9. 谷歌TPU硬刚英伟达！ AI芯片市场从英伟达垄断转向多元化 据C114报道，当前全球AI大模型和芯片领域掀起新一轮军备竞赛。 美国白宫周一发布声明称，总统特朗普签署了一项行政命令，启动一项旨在利用AI变革科学研究方式、加速科学发现的全新国家计划“创世纪计划”。 在 AI大模型和芯片竞争背景下，对算力存在巨大需求。 谷歌近日发布了最新的大语</t>
        </is>
      </c>
    </row>
    <row r="22">
      <c r="A22" s="2" t="inlineStr">
        <is>
          <t>Q005</t>
        </is>
      </c>
      <c r="B22" s="2" t="n">
        <v>1</v>
      </c>
      <c r="C22" s="2" t="inlineStr">
        <is>
          <t>CASE_003</t>
        </is>
      </c>
      <c r="D22" s="2" t="inlineStr">
        <is>
          <t>同一反规避调查中被认定“未规避”的企业（Hanwha、Jinko马来西亚、Boviet越南）</t>
        </is>
      </c>
      <c r="E22" s="2" t="inlineStr">
        <is>
          <t>反规避</t>
        </is>
      </c>
      <c r="F22" s="2" t="inlineStr">
        <is>
          <t>S</t>
        </is>
      </c>
      <c r="G22" s="2" t="n">
        <v>2</v>
      </c>
      <c r="H22" s="2" t="n">
        <v>2</v>
      </c>
      <c r="I22" s="3" t="n">
        <v>2</v>
      </c>
      <c r="J22" s="3" t="n">
        <v>2</v>
      </c>
      <c r="K22" s="2" t="inlineStr">
        <is>
          <t>“未规避”认定案例，直接对照</t>
        </is>
      </c>
      <c r="L22" s="2" t="inlineStr">
        <is>
          <t>美国商务部（经律所解读）</t>
        </is>
      </c>
      <c r="M22" s="2" t="inlineStr">
        <is>
          <t>Company Intelligence</t>
        </is>
      </c>
      <c r="N22" s="2" t="inlineStr">
        <is>
          <t>trade_policy</t>
        </is>
      </c>
      <c r="O22" s="2" t="inlineStr">
        <is>
          <t>CASE_002; CASE_003; CASE_010; DOC_001</t>
        </is>
      </c>
      <c r="P22" s="2" t="inlineStr">
        <is>
          <t>同样在东南亚生产，为什么有的企业可能被认定为规避、有的却没有？请用现有对照案例说明供应链结构和工序布局对结果的影响。</t>
        </is>
      </c>
      <c r="Q22" s="2" t="inlineStr">
        <is>
          <t>Evidence ID: CASE_003 Title: 同一反规避调查中被认定“未规避”的企业（Hanwha、Jinko马来西亚、Boviet越南） Publisher: 美国商务部（经律所解读） Country/Jurisdiction: 马来西亚/越南 Publication date: 2023-08-18 Status: CURRENT Topic: 反规避 Applicability scope: GENERAL Related industries: 光伏 Key finding: 与CASE_002构成对照：同一规则下，供应链结构不同导致</t>
        </is>
      </c>
    </row>
    <row r="23">
      <c r="A23" s="2" t="inlineStr">
        <is>
          <t>Q005</t>
        </is>
      </c>
      <c r="B23" s="2" t="n">
        <v>2</v>
      </c>
      <c r="C23" s="2" t="inlineStr">
        <is>
          <t>CASE_002</t>
        </is>
      </c>
      <c r="D23" s="2" t="inlineStr">
        <is>
          <t>美国对东南亚四国光伏产品反规避认定：视为中国原产并适用对华双反</t>
        </is>
      </c>
      <c r="E23" s="2" t="inlineStr">
        <is>
          <t>反规避</t>
        </is>
      </c>
      <c r="F23" s="2" t="inlineStr">
        <is>
          <t>S</t>
        </is>
      </c>
      <c r="G23" s="2" t="n">
        <v>2</v>
      </c>
      <c r="H23" s="2" t="n">
        <v>2</v>
      </c>
      <c r="I23" s="3" t="n">
        <v>2</v>
      </c>
      <c r="J23" s="3" t="n">
        <v>2</v>
      </c>
      <c r="K23" s="2" t="inlineStr">
        <is>
          <t>“认定规避”案例，直接对照</t>
        </is>
      </c>
      <c r="L23" s="2" t="inlineStr">
        <is>
          <t>美国商务部（经律所解读）</t>
        </is>
      </c>
      <c r="M23" s="2" t="inlineStr">
        <is>
          <t>Company Intelligence</t>
        </is>
      </c>
      <c r="N23" s="2" t="inlineStr">
        <is>
          <t>trade_policy</t>
        </is>
      </c>
      <c r="O23" s="2" t="inlineStr">
        <is>
          <t>CASE_002; CASE_003; CASE_010; DOC_001</t>
        </is>
      </c>
      <c r="P23" s="2" t="inlineStr">
        <is>
          <t>同样在东南亚生产，为什么有的企业可能被认定为规避、有的却没有？请用现有对照案例说明供应链结构和工序布局对结果的影响。</t>
        </is>
      </c>
      <c r="Q23" s="2" t="inlineStr">
        <is>
          <t>Evidence ID: CASE_002 Title: 美国对东南亚四国光伏产品反规避认定：视为中国原产并适用对华双反 Publisher: 美国商务部（经律所解读） Country/Jurisdiction: 柬埔寨/马来西亚/泰国/越南 Publication date: 2023-08-18 Status: CURRENT Topic: 反规避 Applicability scope: GENERAL Related industries: 光伏 Key finding: 2022年4月立案，2023年8月终裁。使用中国组件在东南亚完成的电池和组</t>
        </is>
      </c>
    </row>
    <row r="24">
      <c r="A24" s="2" t="inlineStr">
        <is>
          <t>Q005</t>
        </is>
      </c>
      <c r="B24" s="2" t="n">
        <v>3</v>
      </c>
      <c r="C24" s="2" t="inlineStr">
        <is>
          <t>DOC_001</t>
        </is>
      </c>
      <c r="D24" s="2" t="inlineStr">
        <is>
          <t>Final Circumvention Determinations: Crystalline Silicon Photovoltaic Cells from Cambodia, Malaysia, Thailand and Vietnam（东南亚四国光伏反规避终裁）</t>
        </is>
      </c>
      <c r="E24" s="2" t="inlineStr">
        <is>
          <t>反规避</t>
        </is>
      </c>
      <c r="F24" s="2" t="inlineStr">
        <is>
          <t>S</t>
        </is>
      </c>
      <c r="G24" s="2" t="n">
        <v>2</v>
      </c>
      <c r="H24" s="2" t="n">
        <v>2</v>
      </c>
      <c r="I24" s="3" t="n">
        <v>2</v>
      </c>
      <c r="J24" s="3" t="n">
        <v>2</v>
      </c>
      <c r="K24" s="2" t="inlineStr">
        <is>
          <t>官方终裁原文，对照判定的依据</t>
        </is>
      </c>
      <c r="L24" s="2" t="inlineStr">
        <is>
          <t>美国商务部</t>
        </is>
      </c>
      <c r="M24" s="2" t="inlineStr">
        <is>
          <t>Company Intelligence</t>
        </is>
      </c>
      <c r="N24" s="2" t="inlineStr">
        <is>
          <t>trade_policy</t>
        </is>
      </c>
      <c r="O24" s="2" t="inlineStr">
        <is>
          <t>CASE_002; CASE_003; CASE_010; DOC_001</t>
        </is>
      </c>
      <c r="P24" s="2" t="inlineStr">
        <is>
          <t>同样在东南亚生产，为什么有的企业可能被认定为规避、有的却没有？请用现有对照案例说明供应链结构和工序布局对结果的影响。</t>
        </is>
      </c>
      <c r="Q24" s="2" t="inlineStr">
        <is>
          <t>Evidence ID: DOC_001 Title: Final Circumvention Determinations: Crystalline Silicon Photovoltaic Cells from Cambodia, Malaysia, Thailand and Vietnam（东南亚四国光伏反规避终裁） Publisher: 美国商务部 Country/Jurisdiction: US / Federal Publication date: 2023-08-23 Status: CURRENT Topic: 反规避 Applicabi</t>
        </is>
      </c>
    </row>
    <row r="25">
      <c r="A25" s="2" t="inlineStr">
        <is>
          <t>Q005</t>
        </is>
      </c>
      <c r="B25" s="2" t="n">
        <v>4</v>
      </c>
      <c r="C25" s="2" t="inlineStr">
        <is>
          <t>DHS_001</t>
        </is>
      </c>
      <c r="D25" s="2" t="inlineStr">
        <is>
          <t>Notice Regarding the Uyghur Forced Labor Prevention Act Entity List（UFLPA 实体清单更新公告）</t>
        </is>
      </c>
      <c r="E25" s="2" t="inlineStr">
        <is>
          <t>劳工</t>
        </is>
      </c>
      <c r="F25" s="2" t="inlineStr">
        <is>
          <t>S</t>
        </is>
      </c>
      <c r="G25" s="2" t="n">
        <v>0</v>
      </c>
      <c r="H25" s="2" t="n">
        <v>2</v>
      </c>
      <c r="I25" s="3" t="n">
        <v>0</v>
      </c>
      <c r="J25" s="3" t="n">
        <v>2</v>
      </c>
      <c r="K25" s="2" t="inlineStr">
        <is>
          <t>UFLPA 强迫劳动实体清单，与反规避/原产地认定判例属不同域</t>
        </is>
      </c>
      <c r="L25" s="2" t="inlineStr">
        <is>
          <t>美国国土安全部（DHS，Federal Register）</t>
        </is>
      </c>
      <c r="M25" s="2" t="inlineStr">
        <is>
          <t>Company Intelligence</t>
        </is>
      </c>
      <c r="N25" s="2" t="inlineStr">
        <is>
          <t>trade_policy</t>
        </is>
      </c>
      <c r="O25" s="2" t="inlineStr">
        <is>
          <t>CASE_002; CASE_003; CASE_010; DOC_001</t>
        </is>
      </c>
      <c r="P25" s="2" t="inlineStr">
        <is>
          <t>同样在东南亚生产，为什么有的企业可能被认定为规避、有的却没有？请用现有对照案例说明供应链结构和工序布局对结果的影响。</t>
        </is>
      </c>
      <c r="Q25" s="2" t="inlineStr">
        <is>
          <t>Evidence ID: DHS_001 Title: Notice Regarding the Uyghur Forced Labor Prevention Act Entity List（UFLPA 实体清单更新公告） Publisher: 美国国土安全部（DHS，Federal Register） Country/Jurisdiction: US/CN / Federal Publication date: 2026-08-03 Status: CURRENT Topic: 劳工 Applicability scope: GENERAL Relat</t>
        </is>
      </c>
    </row>
    <row r="26">
      <c r="A26" s="2" t="inlineStr">
        <is>
          <t>Q005</t>
        </is>
      </c>
      <c r="B26" s="2" t="n">
        <v>5</v>
      </c>
      <c r="C26" s="2" t="inlineStr">
        <is>
          <t>CASE_010</t>
        </is>
      </c>
      <c r="D26" s="2" t="inlineStr">
        <is>
          <t>白宫点名东南亚为非法转运高风险地区，并推出AI执法工具</t>
        </is>
      </c>
      <c r="E26" s="2" t="inlineStr">
        <is>
          <t>原产地与转运</t>
        </is>
      </c>
      <c r="F26" s="2" t="inlineStr">
        <is>
          <t>S</t>
        </is>
      </c>
      <c r="G26" s="2" t="n">
        <v>2</v>
      </c>
      <c r="H26" s="2" t="n">
        <v>2</v>
      </c>
      <c r="I26" s="3" t="n">
        <v>2</v>
      </c>
      <c r="J26" s="3" t="n">
        <v>2</v>
      </c>
      <c r="K26" s="2" t="inlineStr">
        <is>
          <t>白宫点名东南亚转运高风险并推AI执法，直接说明认定规避的官方立场</t>
        </is>
      </c>
      <c r="L26" s="2" t="inlineStr">
        <is>
          <t>美国白宫（经律所解读）</t>
        </is>
      </c>
      <c r="M26" s="2" t="inlineStr">
        <is>
          <t>Company Intelligence</t>
        </is>
      </c>
      <c r="N26" s="2" t="inlineStr">
        <is>
          <t>trade_policy</t>
        </is>
      </c>
      <c r="O26" s="2" t="inlineStr">
        <is>
          <t>CASE_002; CASE_003; CASE_010; DOC_001</t>
        </is>
      </c>
      <c r="P26" s="2" t="inlineStr">
        <is>
          <t>同样在东南亚生产，为什么有的企业可能被认定为规避、有的却没有？请用现有对照案例说明供应链结构和工序布局对结果的影响。</t>
        </is>
      </c>
      <c r="Q26" s="2" t="inlineStr">
        <is>
          <t>进口商应预期，如果新关税措施后采购模式发生变化，来自高关税国家的货物经由中介管辖区转运，或声称的原产国缺乏有意义生产证据，原产地主张将受到更严格的审查。 这些事实模式可能引发信息请求、货物搁置、审计查询、EAPA指控或罚款调查。 新的检测工具和执法能力 CBP及其他机构越来越多地拥有先进的数据工具，使转运更容易被识别。 报告描述了一个人工智能驱动的执法平台“侦探边境”，集成了进口数据分析、供应链地图、路由历史、所有权和关联分析、贸易流异常、产能比较以及计算机视觉，以识别高风险货物和潜在的虚假原产地索赔。 CBP的执法行动已经加快。 报告指出，自2025年</t>
        </is>
      </c>
    </row>
    <row r="27">
      <c r="A27" s="2" t="inlineStr">
        <is>
          <t>Q006</t>
        </is>
      </c>
      <c r="B27" s="2" t="n">
        <v>1</v>
      </c>
      <c r="C27" s="2" t="inlineStr">
        <is>
          <t>BIS_002</t>
        </is>
      </c>
      <c r="D27" s="2" t="inlineStr">
        <is>
          <t>One Year Suspension of Expansion of End-User Controls for Affiliates of Certain Listed Entities（关联企业规则暂停一年）</t>
        </is>
      </c>
      <c r="E27" s="2" t="inlineStr">
        <is>
          <t>出口管制</t>
        </is>
      </c>
      <c r="F27" s="2" t="inlineStr">
        <is>
          <t>S</t>
        </is>
      </c>
      <c r="G27" s="2" t="n">
        <v>2</v>
      </c>
      <c r="H27" s="2" t="n">
        <v>2</v>
      </c>
      <c r="I27" s="3" t="n">
        <v>2</v>
      </c>
      <c r="J27" s="3" t="n">
        <v>2</v>
      </c>
      <c r="K27" s="2" t="inlineStr">
        <is>
          <t>暂停令，直接回答暂停措施</t>
        </is>
      </c>
      <c r="L27" s="2" t="inlineStr">
        <is>
          <t>美国商务部工业与安全局（BIS）</t>
        </is>
      </c>
      <c r="M27" s="2" t="inlineStr">
        <is>
          <t>Policy / Trade Risk</t>
        </is>
      </c>
      <c r="N27" s="2" t="inlineStr">
        <is>
          <t>export_control</t>
        </is>
      </c>
      <c r="O27" s="2" t="inlineStr">
        <is>
          <t>BIS_001; BIS_002; MOFCOM_001; MOFCOM_002</t>
        </is>
      </c>
      <c r="P27" s="2" t="inlineStr">
        <is>
          <t>一家中国电池材料企业向美国客户出口含石墨、镓或锗相关物项时，2026年应重点核查哪些中国出口管制目录和暂停措施，以及美方关联企业（50%穿透）规则？</t>
        </is>
      </c>
      <c r="Q27" s="2" t="inlineStr">
        <is>
          <t>Evidence ID: BIS_002 Title: One Year Suspension of Expansion of End-User Controls for Affiliates of Certain Listed Entities（关联企业规则暂停一年） Publisher: 美国商务部工业与安全局（BIS） Country/Jurisdiction: US / Federal Publication date: 2025-11-12 Status: CURRENT Topic: 出口管制 Applicability scope: GEN</t>
        </is>
      </c>
    </row>
    <row r="28">
      <c r="A28" s="2" t="inlineStr">
        <is>
          <t>Q006</t>
        </is>
      </c>
      <c r="B28" s="2" t="n">
        <v>2</v>
      </c>
      <c r="C28" s="2" t="inlineStr">
        <is>
          <t>BIS_001</t>
        </is>
      </c>
      <c r="D28" s="2" t="inlineStr">
        <is>
          <t>Expansion of End-User Controls to Cover Affiliates of Certain Listed Entities（关联企业规则 / 50%穿透规则，临时最终规则）</t>
        </is>
      </c>
      <c r="E28" s="2" t="inlineStr">
        <is>
          <t>出口管制</t>
        </is>
      </c>
      <c r="F28" s="2" t="inlineStr">
        <is>
          <t>S</t>
        </is>
      </c>
      <c r="G28" s="2" t="n">
        <v>2</v>
      </c>
      <c r="H28" s="2" t="n">
        <v>2</v>
      </c>
      <c r="I28" s="3" t="n">
        <v>2</v>
      </c>
      <c r="J28" s="3" t="n">
        <v>2</v>
      </c>
      <c r="K28" s="2" t="inlineStr">
        <is>
          <t>50%穿透规则原文，直接回答美方规则</t>
        </is>
      </c>
      <c r="L28" s="2" t="inlineStr">
        <is>
          <t>美国商务部工业与安全局（BIS）</t>
        </is>
      </c>
      <c r="M28" s="2" t="inlineStr">
        <is>
          <t>Policy / Trade Risk</t>
        </is>
      </c>
      <c r="N28" s="2" t="inlineStr">
        <is>
          <t>export_control</t>
        </is>
      </c>
      <c r="O28" s="2" t="inlineStr">
        <is>
          <t>BIS_001; BIS_002; MOFCOM_001; MOFCOM_002</t>
        </is>
      </c>
      <c r="P28" s="2" t="inlineStr">
        <is>
          <t>一家中国电池材料企业向美国客户出口含石墨、镓或锗相关物项时，2026年应重点核查哪些中国出口管制目录和暂停措施，以及美方关联企业（50%穿透）规则？</t>
        </is>
      </c>
      <c r="Q28" s="2" t="inlineStr">
        <is>
          <t>Evidence ID: BIS_001 Title: Expansion of End-User Controls to Cover Affiliates of Certain Listed Entities（关联企业规则 / 50%穿透规则，临时最终规则） Publisher: 美国商务部工业与安全局（BIS） Country/Jurisdiction: US / Federal Publication date: 2025-09-30 Status: CURRENT Topic: 出口管制 Applicability scope: GENERAL</t>
        </is>
      </c>
    </row>
    <row r="29">
      <c r="A29" s="2" t="inlineStr">
        <is>
          <t>Q006</t>
        </is>
      </c>
      <c r="B29" s="2" t="n">
        <v>3</v>
      </c>
      <c r="C29" s="2" t="inlineStr">
        <is>
          <t>CASE_009</t>
        </is>
      </c>
      <c r="D29" s="2" t="inlineStr">
        <is>
          <t>BIS 50%穿透规则：发布→暂停→2026-11-10恢复的完整时间线</t>
        </is>
      </c>
      <c r="E29" s="2" t="inlineStr">
        <is>
          <t>出口管制</t>
        </is>
      </c>
      <c r="F29" s="2" t="inlineStr">
        <is>
          <t>S</t>
        </is>
      </c>
      <c r="G29" s="2" t="n">
        <v>1</v>
      </c>
      <c r="H29" s="2" t="n">
        <v>2</v>
      </c>
      <c r="I29" s="3" t="n">
        <v>1</v>
      </c>
      <c r="J29" s="3" t="n">
        <v>2</v>
      </c>
      <c r="K29" s="2" t="inlineStr">
        <is>
          <t>BIS规则时间线合成案例，内容重复BIS_001/002</t>
        </is>
      </c>
      <c r="L29" s="2" t="inlineStr">
        <is>
          <t>美国商务部工业与安全局（BIS）</t>
        </is>
      </c>
      <c r="M29" s="2" t="inlineStr">
        <is>
          <t>Policy / Trade Risk</t>
        </is>
      </c>
      <c r="N29" s="2" t="inlineStr">
        <is>
          <t>export_control</t>
        </is>
      </c>
      <c r="O29" s="2" t="inlineStr">
        <is>
          <t>BIS_001; BIS_002; MOFCOM_001; MOFCOM_002</t>
        </is>
      </c>
      <c r="P29" s="2" t="inlineStr">
        <is>
          <t>一家中国电池材料企业向美国客户出口含石墨、镓或锗相关物项时，2026年应重点核查哪些中国出口管制目录和暂停措施，以及美方关联企业（50%穿透）规则？</t>
        </is>
      </c>
      <c r="Q29" s="2" t="inlineStr">
        <is>
          <t>Evidence ID: CASE_009 Title: BIS 50%穿透规则：发布→暂停→2026-11-10恢复的完整时间线 Publisher: 美国商务部工业与安全局（BIS） Country/Jurisdiction: US / Federal Publication date: 2025-09-30 Status: CURRENT Topic: 出口管制 Applicability scope: GENERAL Related industries: 通用 Key finding: 政策事件型案例，由BIS_001和BIS_002组成。可用</t>
        </is>
      </c>
    </row>
    <row r="30">
      <c r="A30" s="2" t="inlineStr">
        <is>
          <t>Q006</t>
        </is>
      </c>
      <c r="B30" s="2" t="n">
        <v>4</v>
      </c>
      <c r="C30" s="2" t="inlineStr">
        <is>
          <t>MOFCOM_002</t>
        </is>
      </c>
      <c r="D30" s="2" t="inlineStr">
        <is>
          <t>商务部公告2025年第72号（暂停实施2024年第46号公告第二款，涉及对美两用物项出口管制）</t>
        </is>
      </c>
      <c r="E30" s="2" t="inlineStr">
        <is>
          <t>出口管制</t>
        </is>
      </c>
      <c r="F30" s="2" t="inlineStr">
        <is>
          <t>S</t>
        </is>
      </c>
      <c r="G30" s="2" t="n">
        <v>2</v>
      </c>
      <c r="H30" s="2" t="n">
        <v>2</v>
      </c>
      <c r="I30" s="3" t="n">
        <v>2</v>
      </c>
      <c r="J30" s="3" t="n">
        <v>2</v>
      </c>
      <c r="K30" s="2" t="inlineStr">
        <is>
          <t>暂停措施涉及镓、锗、石墨，直接回答</t>
        </is>
      </c>
      <c r="L30" s="2" t="inlineStr">
        <is>
          <t>商务部</t>
        </is>
      </c>
      <c r="M30" s="2" t="inlineStr">
        <is>
          <t>Policy / Trade Risk</t>
        </is>
      </c>
      <c r="N30" s="2" t="inlineStr">
        <is>
          <t>export_control</t>
        </is>
      </c>
      <c r="O30" s="2" t="inlineStr">
        <is>
          <t>BIS_001; BIS_002; MOFCOM_001; MOFCOM_002</t>
        </is>
      </c>
      <c r="P30" s="2" t="inlineStr">
        <is>
          <t>一家中国电池材料企业向美国客户出口含石墨、镓或锗相关物项时，2026年应重点核查哪些中国出口管制目录和暂停措施，以及美方关联企业（50%穿透）规则？</t>
        </is>
      </c>
      <c r="Q30" s="2" t="inlineStr">
        <is>
          <t>Evidence ID: MOFCOM_002 Title: 商务部公告2025年第72号（暂停实施2024年第46号公告第二款，涉及对美两用物项出口管制） Publisher: 商务部 Country/Jurisdiction: CN / National Publication date: 2025-11-09 Status: CURRENT Topic: 出口管制 Applicability scope: GENERAL Related industries: ◆随产业 Key finding: 目前仅见第三方转述：暂停期至2026-11-27，涉</t>
        </is>
      </c>
    </row>
    <row r="31">
      <c r="A31" s="2" t="inlineStr">
        <is>
          <t>Q006</t>
        </is>
      </c>
      <c r="B31" s="2" t="n">
        <v>5</v>
      </c>
      <c r="C31" s="2" t="inlineStr">
        <is>
          <t>MOFCOM_001</t>
        </is>
      </c>
      <c r="D31" s="2" t="inlineStr">
        <is>
          <t>2026年度《两用物项和技术进出口许可证管理目录》</t>
        </is>
      </c>
      <c r="E31" s="2" t="inlineStr">
        <is>
          <t>出口管制</t>
        </is>
      </c>
      <c r="F31" s="2" t="inlineStr">
        <is>
          <t>S</t>
        </is>
      </c>
      <c r="G31" s="2" t="n">
        <v>2</v>
      </c>
      <c r="H31" s="2" t="n">
        <v>2</v>
      </c>
      <c r="I31" s="3" t="n">
        <v>2</v>
      </c>
      <c r="J31" s="3" t="n">
        <v>2</v>
      </c>
      <c r="K31" s="2" t="inlineStr">
        <is>
          <t>中国两用物项目录，直接回答核查范围</t>
        </is>
      </c>
      <c r="L31" s="2" t="inlineStr">
        <is>
          <t>商务部、海关总署</t>
        </is>
      </c>
      <c r="M31" s="2" t="inlineStr">
        <is>
          <t>Policy / Trade Risk</t>
        </is>
      </c>
      <c r="N31" s="2" t="inlineStr">
        <is>
          <t>export_control</t>
        </is>
      </c>
      <c r="O31" s="2" t="inlineStr">
        <is>
          <t>BIS_001; BIS_002; MOFCOM_001; MOFCOM_002</t>
        </is>
      </c>
      <c r="P31" s="2" t="inlineStr">
        <is>
          <t>一家中国电池材料企业向美国客户出口含石墨、镓或锗相关物项时，2026年应重点核查哪些中国出口管制目录和暂停措施，以及美方关联企业（50%穿透）规则？</t>
        </is>
      </c>
      <c r="Q31" s="2" t="inlineStr">
        <is>
          <t>Evidence ID: MOFCOM_001 Title: 2026年度《两用物项和技术进出口许可证管理目录》 Publisher: 商务部、海关总署 Country/Jurisdiction: CN / National Publication date: 2025-12-31 Status: CURRENT Topic: 出口管制 Applicability scope: GENERAL Related industries: ◆随产业 Key finding: 2026-01-01起实施，同时废止2024年第67号公告。用于判断产品是否属于中国侧</t>
        </is>
      </c>
    </row>
    <row r="32">
      <c r="A32" s="2" t="inlineStr">
        <is>
          <t>Q007</t>
        </is>
      </c>
      <c r="B32" s="2" t="n">
        <v>1</v>
      </c>
      <c r="C32" s="2" t="inlineStr">
        <is>
          <t>CASE_009</t>
        </is>
      </c>
      <c r="D32" s="2" t="inlineStr">
        <is>
          <t>BIS 50%穿透规则：发布→暂停→2026-11-10恢复的完整时间线</t>
        </is>
      </c>
      <c r="E32" s="2" t="inlineStr">
        <is>
          <t>出口管制</t>
        </is>
      </c>
      <c r="F32" s="2" t="inlineStr">
        <is>
          <t>S</t>
        </is>
      </c>
      <c r="G32" s="2" t="n">
        <v>2</v>
      </c>
      <c r="H32" s="2" t="n">
        <v>2</v>
      </c>
      <c r="I32" s="3" t="n">
        <v>2</v>
      </c>
      <c r="J32" s="3" t="n">
        <v>2</v>
      </c>
      <c r="K32" s="2" t="inlineStr">
        <is>
          <t>发布→暂停→恢复完整时间线，直接回答</t>
        </is>
      </c>
      <c r="L32" s="2" t="inlineStr">
        <is>
          <t>美国商务部工业与安全局（BIS）</t>
        </is>
      </c>
      <c r="M32" s="2" t="inlineStr">
        <is>
          <t>Policy / Trade Risk</t>
        </is>
      </c>
      <c r="N32" s="2" t="inlineStr">
        <is>
          <t>export_control</t>
        </is>
      </c>
      <c r="O32" s="2" t="inlineStr">
        <is>
          <t>BIS_001; BIS_002; CASE_009; ITA_001</t>
        </is>
      </c>
      <c r="P32" s="2" t="inlineStr">
        <is>
          <t>美国客户的母公司或关联公司被列入Entity List或MEU List时，我们应如何判断50%持股穿透规则是否会影响交易？当前暂停期又如何改变时间判断？</t>
        </is>
      </c>
      <c r="Q32" s="2" t="inlineStr">
        <is>
          <t>Evidence ID: CASE_009 Title: BIS 50%穿透规则：发布→暂停→2026-11-10恢复的完整时间线 Publisher: 美国商务部工业与安全局（BIS） Country/Jurisdiction: US / Federal Publication date: 2025-09-30 Status: CURRENT Topic: 出口管制 Applicability scope: GENERAL Related industries: 通用 Key finding: 政策事件型案例，由BIS_001和BIS_002组成。可用</t>
        </is>
      </c>
    </row>
    <row r="33">
      <c r="A33" s="2" t="inlineStr">
        <is>
          <t>Q007</t>
        </is>
      </c>
      <c r="B33" s="2" t="n">
        <v>2</v>
      </c>
      <c r="C33" s="2" t="inlineStr">
        <is>
          <t>BIS_001</t>
        </is>
      </c>
      <c r="D33" s="2" t="inlineStr">
        <is>
          <t>Expansion of End-User Controls to Cover Affiliates of Certain Listed Entities（关联企业规则 / 50%穿透规则，临时最终规则）</t>
        </is>
      </c>
      <c r="E33" s="2" t="inlineStr">
        <is>
          <t>出口管制</t>
        </is>
      </c>
      <c r="F33" s="2" t="inlineStr">
        <is>
          <t>S</t>
        </is>
      </c>
      <c r="G33" s="2" t="n">
        <v>2</v>
      </c>
      <c r="H33" s="2" t="n">
        <v>2</v>
      </c>
      <c r="I33" s="3" t="n">
        <v>2</v>
      </c>
      <c r="J33" s="3" t="n">
        <v>2</v>
      </c>
      <c r="K33" s="2" t="inlineStr">
        <is>
          <t>50%持股穿透规则原文</t>
        </is>
      </c>
      <c r="L33" s="2" t="inlineStr">
        <is>
          <t>美国商务部工业与安全局（BIS）</t>
        </is>
      </c>
      <c r="M33" s="2" t="inlineStr">
        <is>
          <t>Policy / Trade Risk</t>
        </is>
      </c>
      <c r="N33" s="2" t="inlineStr">
        <is>
          <t>export_control</t>
        </is>
      </c>
      <c r="O33" s="2" t="inlineStr">
        <is>
          <t>BIS_001; BIS_002; CASE_009; ITA_001</t>
        </is>
      </c>
      <c r="P33" s="2" t="inlineStr">
        <is>
          <t>美国客户的母公司或关联公司被列入Entity List或MEU List时，我们应如何判断50%持股穿透规则是否会影响交易？当前暂停期又如何改变时间判断？</t>
        </is>
      </c>
      <c r="Q33" s="2" t="inlineStr">
        <is>
          <t>Evidence ID: BIS_001 Title: Expansion of End-User Controls to Cover Affiliates of Certain Listed Entities（关联企业规则 / 50%穿透规则，临时最终规则） Publisher: 美国商务部工业与安全局（BIS） Country/Jurisdiction: US / Federal Publication date: 2025-09-30 Status: CURRENT Topic: 出口管制 Applicability scope: GENERAL</t>
        </is>
      </c>
    </row>
    <row r="34">
      <c r="A34" s="2" t="inlineStr">
        <is>
          <t>Q007</t>
        </is>
      </c>
      <c r="B34" s="2" t="n">
        <v>3</v>
      </c>
      <c r="C34" s="2" t="inlineStr">
        <is>
          <t>BIS_002</t>
        </is>
      </c>
      <c r="D34" s="2" t="inlineStr">
        <is>
          <t>One Year Suspension of Expansion of End-User Controls for Affiliates of Certain Listed Entities（关联企业规则暂停一年）</t>
        </is>
      </c>
      <c r="E34" s="2" t="inlineStr">
        <is>
          <t>出口管制</t>
        </is>
      </c>
      <c r="F34" s="2" t="inlineStr">
        <is>
          <t>S</t>
        </is>
      </c>
      <c r="G34" s="2" t="n">
        <v>2</v>
      </c>
      <c r="H34" s="2" t="n">
        <v>2</v>
      </c>
      <c r="I34" s="3" t="n">
        <v>2</v>
      </c>
      <c r="J34" s="3" t="n">
        <v>2</v>
      </c>
      <c r="K34" s="2" t="inlineStr">
        <is>
          <t>暂停期原文，直接回答时间判断</t>
        </is>
      </c>
      <c r="L34" s="2" t="inlineStr">
        <is>
          <t>美国商务部工业与安全局（BIS）</t>
        </is>
      </c>
      <c r="M34" s="2" t="inlineStr">
        <is>
          <t>Policy / Trade Risk</t>
        </is>
      </c>
      <c r="N34" s="2" t="inlineStr">
        <is>
          <t>export_control</t>
        </is>
      </c>
      <c r="O34" s="2" t="inlineStr">
        <is>
          <t>BIS_001; BIS_002; CASE_009; ITA_001</t>
        </is>
      </c>
      <c r="P34" s="2" t="inlineStr">
        <is>
          <t>美国客户的母公司或关联公司被列入Entity List或MEU List时，我们应如何判断50%持股穿透规则是否会影响交易？当前暂停期又如何改变时间判断？</t>
        </is>
      </c>
      <c r="Q34" s="2" t="inlineStr">
        <is>
          <t>Evidence ID: BIS_002 Title: One Year Suspension of Expansion of End-User Controls for Affiliates of Certain Listed Entities（关联企业规则暂停一年） Publisher: 美国商务部工业与安全局（BIS） Country/Jurisdiction: US / Federal Publication date: 2025-11-12 Status: CURRENT Topic: 出口管制 Applicability scope: GEN</t>
        </is>
      </c>
    </row>
    <row r="35">
      <c r="A35" s="2" t="inlineStr">
        <is>
          <t>Q007</t>
        </is>
      </c>
      <c r="B35" s="2" t="n">
        <v>4</v>
      </c>
      <c r="C35" s="2" t="inlineStr">
        <is>
          <t>ITA_001</t>
        </is>
      </c>
      <c r="D35" s="2" t="inlineStr">
        <is>
          <t>Consolidated Screening List API（美国合并筛查清单）</t>
        </is>
      </c>
      <c r="E35" s="2" t="inlineStr">
        <is>
          <t>出口管制</t>
        </is>
      </c>
      <c r="F35" s="2" t="inlineStr">
        <is>
          <t>S</t>
        </is>
      </c>
      <c r="G35" s="2" t="n">
        <v>2</v>
      </c>
      <c r="H35" s="2" t="n">
        <v>2</v>
      </c>
      <c r="I35" s="3" t="n">
        <v>2</v>
      </c>
      <c r="J35" s="3" t="n">
        <v>2</v>
      </c>
      <c r="K35" s="2" t="inlineStr">
        <is>
          <t>合并筛查清单，用于判断客户是否被列名</t>
        </is>
      </c>
      <c r="L35" s="2" t="inlineStr">
        <is>
          <t>美国国际贸易管理局（ITA）</t>
        </is>
      </c>
      <c r="M35" s="2" t="inlineStr">
        <is>
          <t>Policy / Trade Risk</t>
        </is>
      </c>
      <c r="N35" s="2" t="inlineStr">
        <is>
          <t>export_control</t>
        </is>
      </c>
      <c r="O35" s="2" t="inlineStr">
        <is>
          <t>BIS_001; BIS_002; CASE_009; ITA_001</t>
        </is>
      </c>
      <c r="P35" s="2" t="inlineStr">
        <is>
          <t>美国客户的母公司或关联公司被列入Entity List或MEU List时，我们应如何判断50%持股穿透规则是否会影响交易？当前暂停期又如何改变时间判断？</t>
        </is>
      </c>
      <c r="Q35" s="2" t="inlineStr">
        <is>
          <t>Bulk database source with 26144 records. Distinct listed entity names: 25837. Programs covered: RUSSIA-EO14024, SDGT, IFSR, SDNTK, NPWMD, IRAN-EO13902, UKRAINE-EO13662, GLOMAG, ILLICIT-DRUGS-EO14059, IRAN, IRAN-EO13846, TCO, IRGC, CYBER2, IRAN-HR. Component lists: Specially Desig</t>
        </is>
      </c>
    </row>
    <row r="36">
      <c r="A36" s="2" t="inlineStr">
        <is>
          <t>Q007</t>
        </is>
      </c>
      <c r="B36" s="2" t="n">
        <v>5</v>
      </c>
      <c r="C36" s="2" t="inlineStr">
        <is>
          <t>DHS_001</t>
        </is>
      </c>
      <c r="D36" s="2" t="inlineStr">
        <is>
          <t>Notice Regarding the Uyghur Forced Labor Prevention Act Entity List（UFLPA 实体清单更新公告）</t>
        </is>
      </c>
      <c r="E36" s="2" t="inlineStr">
        <is>
          <t>劳工</t>
        </is>
      </c>
      <c r="F36" s="2" t="inlineStr">
        <is>
          <t>S</t>
        </is>
      </c>
      <c r="G36" s="2" t="n">
        <v>0</v>
      </c>
      <c r="H36" s="2" t="n">
        <v>2</v>
      </c>
      <c r="I36" s="3" t="n">
        <v>0</v>
      </c>
      <c r="J36" s="3" t="n">
        <v>2</v>
      </c>
      <c r="K36" s="2" t="inlineStr">
        <is>
          <t>UFLPA 清单不是 Entity List/MEU 穿透规则，与 50% 持股判断无关</t>
        </is>
      </c>
      <c r="L36" s="2" t="inlineStr">
        <is>
          <t>美国国土安全部（DHS，Federal Register）</t>
        </is>
      </c>
      <c r="M36" s="2" t="inlineStr">
        <is>
          <t>Policy / Trade Risk</t>
        </is>
      </c>
      <c r="N36" s="2" t="inlineStr">
        <is>
          <t>export_control</t>
        </is>
      </c>
      <c r="O36" s="2" t="inlineStr">
        <is>
          <t>BIS_001; BIS_002; CASE_009; ITA_001</t>
        </is>
      </c>
      <c r="P36" s="2" t="inlineStr">
        <is>
          <t>美国客户的母公司或关联公司被列入Entity List或MEU List时，我们应如何判断50%持股穿透规则是否会影响交易？当前暂停期又如何改变时间判断？</t>
        </is>
      </c>
      <c r="Q36" s="2" t="inlineStr">
        <is>
          <t>Evidence ID: DHS_001 Title: Notice Regarding the Uyghur Forced Labor Prevention Act Entity List（UFLPA 实体清单更新公告） Publisher: 美国国土安全部（DHS，Federal Register） Country/Jurisdiction: US/CN / Federal Publication date: 2026-08-03 Status: CURRENT Topic: 劳工 Applicability scope: GENERAL Relat</t>
        </is>
      </c>
    </row>
    <row r="37">
      <c r="A37" s="2" t="inlineStr">
        <is>
          <t>Q008</t>
        </is>
      </c>
      <c r="B37" s="2" t="n">
        <v>1</v>
      </c>
      <c r="C37" s="2" t="inlineStr">
        <is>
          <t>BIS_002</t>
        </is>
      </c>
      <c r="D37" s="2" t="inlineStr">
        <is>
          <t>One Year Suspension of Expansion of End-User Controls for Affiliates of Certain Listed Entities（关联企业规则暂停一年）</t>
        </is>
      </c>
      <c r="E37" s="2" t="inlineStr">
        <is>
          <t>出口管制</t>
        </is>
      </c>
      <c r="F37" s="2" t="inlineStr">
        <is>
          <t>S</t>
        </is>
      </c>
      <c r="G37" s="2" t="n">
        <v>2</v>
      </c>
      <c r="H37" s="2" t="n">
        <v>2</v>
      </c>
      <c r="I37" s="3" t="n">
        <v>2</v>
      </c>
      <c r="J37" s="3" t="n">
        <v>2</v>
      </c>
      <c r="K37" s="2" t="inlineStr">
        <is>
          <t>暂停期至2026-11-09，正好覆盖签约时点</t>
        </is>
      </c>
      <c r="L37" s="2" t="inlineStr">
        <is>
          <t>美国商务部工业与安全局（BIS）</t>
        </is>
      </c>
      <c r="M37" s="2" t="inlineStr">
        <is>
          <t>Policy / Trade Risk</t>
        </is>
      </c>
      <c r="N37" s="2" t="inlineStr">
        <is>
          <t>export_control</t>
        </is>
      </c>
      <c r="O37" s="2" t="inlineStr">
        <is>
          <t>BIS_001; BIS_002; CASE_009; FR_001</t>
        </is>
      </c>
      <c r="P37" s="2" t="inlineStr">
        <is>
          <t>我们准备在2026年11月前后签署一份对美长期供货合同。BIS关联企业规则的暂停与恢复时间线会带来什么合规窗口风险？</t>
        </is>
      </c>
      <c r="Q37" s="2" t="inlineStr">
        <is>
          <t>Evidence ID: BIS_002 Title: One Year Suspension of Expansion of End-User Controls for Affiliates of Certain Listed Entities（关联企业规则暂停一年） Publisher: 美国商务部工业与安全局（BIS） Country/Jurisdiction: US / Federal Publication date: 2025-11-12 Status: CURRENT Topic: 出口管制 Applicability scope: GEN</t>
        </is>
      </c>
    </row>
    <row r="38">
      <c r="A38" s="2" t="inlineStr">
        <is>
          <t>Q008</t>
        </is>
      </c>
      <c r="B38" s="2" t="n">
        <v>2</v>
      </c>
      <c r="C38" s="2" t="inlineStr">
        <is>
          <t>CASE_009</t>
        </is>
      </c>
      <c r="D38" s="2" t="inlineStr">
        <is>
          <t>BIS 50%穿透规则：发布→暂停→2026-11-10恢复的完整时间线</t>
        </is>
      </c>
      <c r="E38" s="2" t="inlineStr">
        <is>
          <t>出口管制</t>
        </is>
      </c>
      <c r="F38" s="2" t="inlineStr">
        <is>
          <t>S</t>
        </is>
      </c>
      <c r="G38" s="2" t="n">
        <v>2</v>
      </c>
      <c r="H38" s="2" t="n">
        <v>2</v>
      </c>
      <c r="I38" s="3" t="n">
        <v>2</v>
      </c>
      <c r="J38" s="3" t="n">
        <v>2</v>
      </c>
      <c r="K38" s="2" t="inlineStr">
        <is>
          <t>完整时间线，直接回答合规窗口</t>
        </is>
      </c>
      <c r="L38" s="2" t="inlineStr">
        <is>
          <t>美国商务部工业与安全局（BIS）</t>
        </is>
      </c>
      <c r="M38" s="2" t="inlineStr">
        <is>
          <t>Policy / Trade Risk</t>
        </is>
      </c>
      <c r="N38" s="2" t="inlineStr">
        <is>
          <t>export_control</t>
        </is>
      </c>
      <c r="O38" s="2" t="inlineStr">
        <is>
          <t>BIS_001; BIS_002; CASE_009; FR_001</t>
        </is>
      </c>
      <c r="P38" s="2" t="inlineStr">
        <is>
          <t>我们准备在2026年11月前后签署一份对美长期供货合同。BIS关联企业规则的暂停与恢复时间线会带来什么合规窗口风险？</t>
        </is>
      </c>
      <c r="Q38" s="2" t="inlineStr">
        <is>
          <t>Evidence ID: CASE_009 Title: BIS 50%穿透规则：发布→暂停→2026-11-10恢复的完整时间线 Publisher: 美国商务部工业与安全局（BIS） Country/Jurisdiction: US / Federal Publication date: 2025-09-30 Status: CURRENT Topic: 出口管制 Applicability scope: GENERAL Related industries: 通用 Key finding: 政策事件型案例，由BIS_001和BIS_002组成。可用</t>
        </is>
      </c>
    </row>
    <row r="39">
      <c r="A39" s="2" t="inlineStr">
        <is>
          <t>Q008</t>
        </is>
      </c>
      <c r="B39" s="2" t="n">
        <v>3</v>
      </c>
      <c r="C39" s="2" t="inlineStr">
        <is>
          <t>BIS_001</t>
        </is>
      </c>
      <c r="D39" s="2" t="inlineStr">
        <is>
          <t>Expansion of End-User Controls to Cover Affiliates of Certain Listed Entities（关联企业规则 / 50%穿透规则，临时最终规则）</t>
        </is>
      </c>
      <c r="E39" s="2" t="inlineStr">
        <is>
          <t>出口管制</t>
        </is>
      </c>
      <c r="F39" s="2" t="inlineStr">
        <is>
          <t>S</t>
        </is>
      </c>
      <c r="G39" s="2" t="n">
        <v>2</v>
      </c>
      <c r="H39" s="2" t="n">
        <v>2</v>
      </c>
      <c r="I39" s="3" t="n">
        <v>2</v>
      </c>
      <c r="J39" s="3" t="n">
        <v>2</v>
      </c>
      <c r="K39" s="2" t="inlineStr">
        <is>
          <t>恢复后适用的规则原文</t>
        </is>
      </c>
      <c r="L39" s="2" t="inlineStr">
        <is>
          <t>美国商务部工业与安全局（BIS）</t>
        </is>
      </c>
      <c r="M39" s="2" t="inlineStr">
        <is>
          <t>Policy / Trade Risk</t>
        </is>
      </c>
      <c r="N39" s="2" t="inlineStr">
        <is>
          <t>export_control</t>
        </is>
      </c>
      <c r="O39" s="2" t="inlineStr">
        <is>
          <t>BIS_001; BIS_002; CASE_009; FR_001</t>
        </is>
      </c>
      <c r="P39" s="2" t="inlineStr">
        <is>
          <t>我们准备在2026年11月前后签署一份对美长期供货合同。BIS关联企业规则的暂停与恢复时间线会带来什么合规窗口风险？</t>
        </is>
      </c>
      <c r="Q39" s="2" t="inlineStr">
        <is>
          <t>Evidence ID: BIS_001 Title: Expansion of End-User Controls to Cover Affiliates of Certain Listed Entities（关联企业规则 / 50%穿透规则，临时最终规则） Publisher: 美国商务部工业与安全局（BIS） Country/Jurisdiction: US / Federal Publication date: 2025-09-30 Status: CURRENT Topic: 出口管制 Applicability scope: GENERAL</t>
        </is>
      </c>
    </row>
    <row r="40">
      <c r="A40" s="2" t="inlineStr">
        <is>
          <t>Q008</t>
        </is>
      </c>
      <c r="B40" s="2" t="n">
        <v>4</v>
      </c>
      <c r="C40" s="2" t="inlineStr">
        <is>
          <t>MOFCOM_002</t>
        </is>
      </c>
      <c r="D40" s="2" t="inlineStr">
        <is>
          <t>商务部公告2025年第72号（暂停实施2024年第46号公告第二款，涉及对美两用物项出口管制）</t>
        </is>
      </c>
      <c r="E40" s="2" t="inlineStr">
        <is>
          <t>出口管制</t>
        </is>
      </c>
      <c r="F40" s="2" t="inlineStr">
        <is>
          <t>S</t>
        </is>
      </c>
      <c r="G40" s="2" t="n">
        <v>1</v>
      </c>
      <c r="H40" s="2" t="n">
        <v>2</v>
      </c>
      <c r="I40" s="3" t="n">
        <v>1</v>
      </c>
      <c r="J40" s="3" t="n">
        <v>2</v>
      </c>
      <c r="K40" s="2" t="inlineStr">
        <is>
          <t>中国侧暂停措施，机制不同，仅辅助</t>
        </is>
      </c>
      <c r="L40" s="2" t="inlineStr">
        <is>
          <t>商务部</t>
        </is>
      </c>
      <c r="M40" s="2" t="inlineStr">
        <is>
          <t>Policy / Trade Risk</t>
        </is>
      </c>
      <c r="N40" s="2" t="inlineStr">
        <is>
          <t>export_control</t>
        </is>
      </c>
      <c r="O40" s="2" t="inlineStr">
        <is>
          <t>BIS_001; BIS_002; CASE_009; FR_001</t>
        </is>
      </c>
      <c r="P40" s="2" t="inlineStr">
        <is>
          <t>我们准备在2026年11月前后签署一份对美长期供货合同。BIS关联企业规则的暂停与恢复时间线会带来什么合规窗口风险？</t>
        </is>
      </c>
      <c r="Q40" s="2" t="inlineStr">
        <is>
          <t>Evidence ID: MOFCOM_002 Title: 商务部公告2025年第72号（暂停实施2024年第46号公告第二款，涉及对美两用物项出口管制） Publisher: 商务部 Country/Jurisdiction: CN / National Publication date: 2025-11-09 Status: CURRENT Topic: 出口管制 Applicability scope: GENERAL Related industries: ◆随产业 Key finding: 目前仅见第三方转述：暂停期至2026-11-27，涉</t>
        </is>
      </c>
    </row>
    <row r="41">
      <c r="A41" s="2" t="inlineStr">
        <is>
          <t>Q008</t>
        </is>
      </c>
      <c r="B41" s="2" t="n">
        <v>5</v>
      </c>
      <c r="C41" s="2" t="inlineStr">
        <is>
          <t>NIO_001</t>
        </is>
      </c>
      <c r="D41" s="2" t="inlineStr">
        <is>
          <t>NIO Inc. Form 20-F（fiscal year ended December 31, 2025）蔚来2025财年年报</t>
        </is>
      </c>
      <c r="E41" s="2" t="inlineStr">
        <is>
          <t>出口管制</t>
        </is>
      </c>
      <c r="F41" s="2" t="inlineStr">
        <is>
          <t>S</t>
        </is>
      </c>
      <c r="G41" s="2" t="n">
        <v>1</v>
      </c>
      <c r="H41" s="2" t="n">
        <v>2</v>
      </c>
      <c r="I41" s="3" t="n">
        <v>0</v>
      </c>
      <c r="J41" s="3" t="n">
        <v>2</v>
      </c>
      <c r="K41" s="2" t="inlineStr">
        <is>
          <t>企业年报披露半导体出口管制风险，不涉及关联企业规则暂停/恢复时间线 ｜ 人工判定与Auto(1)不同，请复核</t>
        </is>
      </c>
      <c r="L41" s="2" t="inlineStr">
        <is>
          <t>蔚来（NIO Inc.，SEC EDGAR）</t>
        </is>
      </c>
      <c r="M41" s="2" t="inlineStr">
        <is>
          <t>Policy / Trade Risk</t>
        </is>
      </c>
      <c r="N41" s="2" t="inlineStr">
        <is>
          <t>export_control</t>
        </is>
      </c>
      <c r="O41" s="2" t="inlineStr">
        <is>
          <t>BIS_001; BIS_002; CASE_009; FR_001</t>
        </is>
      </c>
      <c r="P41" s="2" t="inlineStr">
        <is>
          <t>我们准备在2026年11月前后签署一份对美长期供货合同。BIS关联企业规则的暂停与恢复时间线会带来什么合规窗口风险？</t>
        </is>
      </c>
      <c r="Q41" s="2" t="inlineStr">
        <is>
          <t>Evidence ID: NIO_001 Title: NIO Inc. Form 20-F（fiscal year ended December 31, 2025）蔚来2025财年年报 Publisher: 蔚来（NIO Inc.，SEC EDGAR） Country/Jurisdiction: CN / National Publication date: 2026-04-10 Status: CURRENT Topic: 出口管制 Applicability scope: GENERAL Related industries: 整车/汽车 Key</t>
        </is>
      </c>
    </row>
    <row r="42">
      <c r="A42" s="2" t="inlineStr">
        <is>
          <t>Q009</t>
        </is>
      </c>
      <c r="B42" s="2" t="n">
        <v>1</v>
      </c>
      <c r="C42" s="2" t="inlineStr">
        <is>
          <t>CASE_010</t>
        </is>
      </c>
      <c r="D42" s="2" t="inlineStr">
        <is>
          <t>白宫点名东南亚为非法转运高风险地区，并推出AI执法工具</t>
        </is>
      </c>
      <c r="E42" s="2" t="inlineStr">
        <is>
          <t>原产地与转运</t>
        </is>
      </c>
      <c r="F42" s="2" t="inlineStr">
        <is>
          <t>S</t>
        </is>
      </c>
      <c r="G42" s="2" t="n">
        <v>2</v>
      </c>
      <c r="H42" s="2" t="n">
        <v>2</v>
      </c>
      <c r="I42" s="3" t="n">
        <v>2</v>
      </c>
      <c r="J42" s="3" t="n">
        <v>2</v>
      </c>
      <c r="K42" s="2" t="inlineStr">
        <is>
          <t>点名越/泰/马为转运高风险，直接</t>
        </is>
      </c>
      <c r="L42" s="2" t="inlineStr">
        <is>
          <t>美国白宫（经律所解读）</t>
        </is>
      </c>
      <c r="M42" s="2" t="inlineStr">
        <is>
          <t>Policy / Trade Risk</t>
        </is>
      </c>
      <c r="N42" s="2" t="inlineStr">
        <is>
          <t>trade_policy</t>
        </is>
      </c>
      <c r="O42" s="2" t="inlineStr">
        <is>
          <t>WH_001; WH_002; CASE_010; CSIS_001</t>
        </is>
      </c>
      <c r="P42" s="2" t="inlineStr">
        <is>
          <t>公司计划通过越南、泰国或马来西亚完成部分加工后出口美国。美国当前对非法转运和原产地执法的政策方向会带来哪些额外风险？</t>
        </is>
      </c>
      <c r="Q42" s="2" t="inlineStr">
        <is>
          <t>专业领域 税务 全球贸易 2026年8月13日 转运执法加紧 白宫报告《 大转运骗局 》将非法转运列为主要的关税规避风险，估计年流动额在400亿美元至3030亿美元之间，并宣布扩大使用分析和人工智能工具以识别虚假原产地索赔。 结合行政命令14411收紧的进口商问责要求，依赖供应商声明却未能证明实质性转变发生地点的进口商面临更多关税、处罚、拘留、EAPA行动及可能的刑事执法举报风险。 什么是转运？ 转运通常指通过中介国转运货物，以隐藏其真实产地并获得更优惠的关税待遇。 合法的供应链可能涉及多个国家，但当货物仅被重新标记、重新包装、重新开票、进行轻微加工，或</t>
        </is>
      </c>
    </row>
    <row r="43">
      <c r="A43" s="2" t="inlineStr">
        <is>
          <t>Q009</t>
        </is>
      </c>
      <c r="B43" s="2" t="n">
        <v>2</v>
      </c>
      <c r="C43" s="2" t="inlineStr">
        <is>
          <t>WH_002</t>
        </is>
      </c>
      <c r="D43" s="2" t="inlineStr">
        <is>
          <t>The Great Transshipment Scam: Rise, Scope, and Costs（白宫非法转运报告）</t>
        </is>
      </c>
      <c r="E43" s="2" t="inlineStr">
        <is>
          <t>原产地与转运</t>
        </is>
      </c>
      <c r="F43" s="2" t="inlineStr">
        <is>
          <t>S</t>
        </is>
      </c>
      <c r="G43" s="2" t="n">
        <v>2</v>
      </c>
      <c r="H43" s="2" t="n">
        <v>2</v>
      </c>
      <c r="I43" s="3" t="n">
        <v>2</v>
      </c>
      <c r="J43" s="3" t="n">
        <v>2</v>
      </c>
      <c r="K43" s="2" t="inlineStr">
        <is>
          <t>白宫转运报告，政策方向直接证据</t>
        </is>
      </c>
      <c r="L43" s="2" t="inlineStr">
        <is>
          <t>美国白宫贸易与制造业政策办公室</t>
        </is>
      </c>
      <c r="M43" s="2" t="inlineStr">
        <is>
          <t>Policy / Trade Risk</t>
        </is>
      </c>
      <c r="N43" s="2" t="inlineStr">
        <is>
          <t>trade_policy</t>
        </is>
      </c>
      <c r="O43" s="2" t="inlineStr">
        <is>
          <t>WH_001; WH_002; CASE_010; CSIS_001</t>
        </is>
      </c>
      <c r="P43" s="2" t="inlineStr">
        <is>
          <t>公司计划通过越南、泰国或马来西亚完成部分加工后出口美国。美国当前对非法转运和原产地执法的政策方向会带来哪些额外风险？</t>
        </is>
      </c>
      <c r="Q43" s="2" t="inlineStr">
        <is>
          <t>Evidence ID: WH_002 Title: The Great Transshipment Scam: Rise, Scope, and Costs（白宫非法转运报告） Publisher: 美国白宫贸易与制造业政策办公室 Country/Jurisdiction: US / Federal Publication date: 2026-08-13 Status: CURRENT Topic: 原产地与转运 Applicability scope: GENERAL Related industries: 通用 Key finding: 点名40</t>
        </is>
      </c>
    </row>
    <row r="44">
      <c r="A44" s="2" t="inlineStr">
        <is>
          <t>Q009</t>
        </is>
      </c>
      <c r="B44" s="2" t="n">
        <v>3</v>
      </c>
      <c r="C44" s="2" t="inlineStr">
        <is>
          <t>WH_001</t>
        </is>
      </c>
      <c r="D44" s="2" t="inlineStr">
        <is>
          <t>Executive Order 14411: Strengthening Customs Enforcement（加强海关执法行政令）</t>
        </is>
      </c>
      <c r="E44" s="2" t="inlineStr">
        <is>
          <t>原产地与转运</t>
        </is>
      </c>
      <c r="F44" s="2" t="inlineStr">
        <is>
          <t>S</t>
        </is>
      </c>
      <c r="G44" s="2" t="n">
        <v>2</v>
      </c>
      <c r="H44" s="2" t="n">
        <v>2</v>
      </c>
      <c r="I44" s="3" t="n">
        <v>2</v>
      </c>
      <c r="J44" s="3" t="n">
        <v>2</v>
      </c>
      <c r="K44" s="2" t="inlineStr">
        <is>
          <t>EO14411收紧海关执法，直接</t>
        </is>
      </c>
      <c r="L44" s="2" t="inlineStr">
        <is>
          <t>美国白宫</t>
        </is>
      </c>
      <c r="M44" s="2" t="inlineStr">
        <is>
          <t>Policy / Trade Risk</t>
        </is>
      </c>
      <c r="N44" s="2" t="inlineStr">
        <is>
          <t>trade_policy</t>
        </is>
      </c>
      <c r="O44" s="2" t="inlineStr">
        <is>
          <t>WH_001; WH_002; CASE_010; CSIS_001</t>
        </is>
      </c>
      <c r="P44" s="2" t="inlineStr">
        <is>
          <t>公司计划通过越南、泰国或马来西亚完成部分加工后出口美国。美国当前对非法转运和原产地执法的政策方向会带来哪些额外风险？</t>
        </is>
      </c>
      <c r="Q44" s="2" t="inlineStr">
        <is>
          <t>Evidence ID: WH_001 Title: Executive Order 14411: Strengthening Customs Enforcement（加强海关执法行政令） Publisher: 美国白宫 Country/Jurisdiction: US / Federal Publication date: 2026-06-03 Status: CURRENT Topic: 原产地与转运 Applicability scope: GENERAL Related industries: 通用 Key finding: 收紧进口商资质、保证</t>
        </is>
      </c>
    </row>
    <row r="45">
      <c r="A45" s="2" t="inlineStr">
        <is>
          <t>Q009</t>
        </is>
      </c>
      <c r="B45" s="2" t="n">
        <v>4</v>
      </c>
      <c r="C45" s="2" t="inlineStr">
        <is>
          <t>CASE_002</t>
        </is>
      </c>
      <c r="D45" s="2" t="inlineStr">
        <is>
          <t>美国对东南亚四国光伏产品反规避认定：视为中国原产并适用对华双反</t>
        </is>
      </c>
      <c r="E45" s="2" t="inlineStr">
        <is>
          <t>反规避</t>
        </is>
      </c>
      <c r="F45" s="2" t="inlineStr">
        <is>
          <t>S</t>
        </is>
      </c>
      <c r="G45" s="2" t="n">
        <v>1</v>
      </c>
      <c r="H45" s="2" t="n">
        <v>2</v>
      </c>
      <c r="I45" s="3" t="n">
        <v>1</v>
      </c>
      <c r="J45" s="3" t="n">
        <v>2</v>
      </c>
      <c r="K45" s="2" t="inlineStr">
        <is>
          <t>光伏反规避判例，同类原产地执法先例</t>
        </is>
      </c>
      <c r="L45" s="2" t="inlineStr">
        <is>
          <t>美国商务部（经律所解读）</t>
        </is>
      </c>
      <c r="M45" s="2" t="inlineStr">
        <is>
          <t>Policy / Trade Risk</t>
        </is>
      </c>
      <c r="N45" s="2" t="inlineStr">
        <is>
          <t>trade_policy</t>
        </is>
      </c>
      <c r="O45" s="2" t="inlineStr">
        <is>
          <t>WH_001; WH_002; CASE_010; CSIS_001</t>
        </is>
      </c>
      <c r="P45" s="2" t="inlineStr">
        <is>
          <t>公司计划通过越南、泰国或马来西亚完成部分加工后出口美国。美国当前对非法转运和原产地执法的政策方向会带来哪些额外风险？</t>
        </is>
      </c>
      <c r="Q45" s="2" t="inlineStr">
        <is>
          <t>Evidence ID: CASE_002 Title: 美国对东南亚四国光伏产品反规避认定：视为中国原产并适用对华双反 Publisher: 美国商务部（经律所解读） Country/Jurisdiction: 柬埔寨/马来西亚/泰国/越南 Publication date: 2023-08-18 Status: CURRENT Topic: 反规避 Applicability scope: GENERAL Related industries: 光伏 Key finding: 2022年4月立案，2023年8月终裁。使用中国组件在东南亚完成的电池和组</t>
        </is>
      </c>
    </row>
    <row r="46">
      <c r="A46" s="2" t="inlineStr">
        <is>
          <t>Q009</t>
        </is>
      </c>
      <c r="B46" s="2" t="n">
        <v>5</v>
      </c>
      <c r="C46" s="2" t="inlineStr">
        <is>
          <t>CSIS_001</t>
        </is>
      </c>
      <c r="D46" s="2" t="inlineStr">
        <is>
          <t>The Visibility Gap: How AI Can Stop Chinese Transshipment Under USMCA</t>
        </is>
      </c>
      <c r="E46" s="2" t="inlineStr">
        <is>
          <t>原产地与转运</t>
        </is>
      </c>
      <c r="F46" s="2" t="inlineStr">
        <is>
          <t>A</t>
        </is>
      </c>
      <c r="G46" s="2" t="n">
        <v>2</v>
      </c>
      <c r="H46" s="2" t="n">
        <v>2</v>
      </c>
      <c r="I46" s="3" t="n">
        <v>2</v>
      </c>
      <c r="J46" s="3" t="n">
        <v>2</v>
      </c>
      <c r="K46" s="2" t="inlineStr">
        <is>
          <t>AI识别转运的可见性缺口分析，直接</t>
        </is>
      </c>
      <c r="L46" s="2" t="inlineStr">
        <is>
          <t>战略与国际研究中心（CSIS）</t>
        </is>
      </c>
      <c r="M46" s="2" t="inlineStr">
        <is>
          <t>Policy / Trade Risk</t>
        </is>
      </c>
      <c r="N46" s="2" t="inlineStr">
        <is>
          <t>trade_policy</t>
        </is>
      </c>
      <c r="O46" s="2" t="inlineStr">
        <is>
          <t>WH_001; WH_002; CASE_010; CSIS_001</t>
        </is>
      </c>
      <c r="P46" s="2" t="inlineStr">
        <is>
          <t>公司计划通过越南、泰国或马来西亚完成部分加工后出口美国。美国当前对非法转运和原产地执法的政策方向会带来哪些额外风险？</t>
        </is>
      </c>
      <c r="Q46" s="2" t="inlineStr">
        <is>
          <t>Evidence ID: CSIS_001 Title: The Visibility Gap: How AI Can Stop Chinese Transshipment Under USMCA Publisher: 战略与国际研究中心（CSIS） Country/Jurisdiction: US / Federal Publication date: 2026-08 Status: CURRENT Topic: 原产地与转运 Applicability scope: GENERAL Related industries: 通用 Key finding</t>
        </is>
      </c>
    </row>
    <row r="47">
      <c r="A47" s="2" t="inlineStr">
        <is>
          <t>Q010</t>
        </is>
      </c>
      <c r="B47" s="2" t="n">
        <v>1</v>
      </c>
      <c r="C47" s="2" t="inlineStr">
        <is>
          <t>CASE_002</t>
        </is>
      </c>
      <c r="D47" s="2" t="inlineStr">
        <is>
          <t>美国对东南亚四国光伏产品反规避认定：视为中国原产并适用对华双反</t>
        </is>
      </c>
      <c r="E47" s="2" t="inlineStr">
        <is>
          <t>反规避</t>
        </is>
      </c>
      <c r="F47" s="2" t="inlineStr">
        <is>
          <t>S</t>
        </is>
      </c>
      <c r="G47" s="2" t="n">
        <v>2</v>
      </c>
      <c r="H47" s="2" t="n">
        <v>2</v>
      </c>
      <c r="I47" s="3" t="n">
        <v>2</v>
      </c>
      <c r="J47" s="3" t="n">
        <v>2</v>
      </c>
      <c r="K47" s="2" t="inlineStr">
        <is>
          <t>“认定规避”判例，直接检验该假设</t>
        </is>
      </c>
      <c r="L47" s="2" t="inlineStr">
        <is>
          <t>美国商务部（经律所解读）</t>
        </is>
      </c>
      <c r="M47" s="2" t="inlineStr">
        <is>
          <t>Policy / Trade Risk</t>
        </is>
      </c>
      <c r="N47" s="2" t="inlineStr">
        <is>
          <t>trade_policy</t>
        </is>
      </c>
      <c r="O47" s="2" t="inlineStr">
        <is>
          <t>CASE_002; CASE_003; CASE_010; DOC_001; WH_002</t>
        </is>
      </c>
      <c r="P47" s="2" t="inlineStr">
        <is>
          <t>如果我们想用历史执法案例评估‘在东南亚加工就能改变原产地并避开美国贸易救济措施’这一假设，现有证据支持什么判断？</t>
        </is>
      </c>
      <c r="Q47" s="2" t="inlineStr">
        <is>
          <t>Evidence ID: CASE_002 Title: 美国对东南亚四国光伏产品反规避认定：视为中国原产并适用对华双反 Publisher: 美国商务部（经律所解读） Country/Jurisdiction: 柬埔寨/马来西亚/泰国/越南 Publication date: 2023-08-18 Status: CURRENT Topic: 反规避 Applicability scope: GENERAL Related industries: 光伏 Key finding: 2022年4月立案，2023年8月终裁。使用中国组件在东南亚完成的电池和组</t>
        </is>
      </c>
    </row>
    <row r="48">
      <c r="A48" s="2" t="inlineStr">
        <is>
          <t>Q010</t>
        </is>
      </c>
      <c r="B48" s="2" t="n">
        <v>2</v>
      </c>
      <c r="C48" s="2" t="inlineStr">
        <is>
          <t>CASE_010</t>
        </is>
      </c>
      <c r="D48" s="2" t="inlineStr">
        <is>
          <t>白宫点名东南亚为非法转运高风险地区，并推出AI执法工具</t>
        </is>
      </c>
      <c r="E48" s="2" t="inlineStr">
        <is>
          <t>原产地与转运</t>
        </is>
      </c>
      <c r="F48" s="2" t="inlineStr">
        <is>
          <t>S</t>
        </is>
      </c>
      <c r="G48" s="2" t="n">
        <v>2</v>
      </c>
      <c r="H48" s="2" t="n">
        <v>2</v>
      </c>
      <c r="I48" s="3" t="n">
        <v>2</v>
      </c>
      <c r="J48" s="3" t="n">
        <v>2</v>
      </c>
      <c r="K48" s="2" t="inlineStr">
        <is>
          <t>官方执法立场，说明原产地改判风险</t>
        </is>
      </c>
      <c r="L48" s="2" t="inlineStr">
        <is>
          <t>美国白宫（经律所解读）</t>
        </is>
      </c>
      <c r="M48" s="2" t="inlineStr">
        <is>
          <t>Policy / Trade Risk</t>
        </is>
      </c>
      <c r="N48" s="2" t="inlineStr">
        <is>
          <t>trade_policy</t>
        </is>
      </c>
      <c r="O48" s="2" t="inlineStr">
        <is>
          <t>CASE_002; CASE_003; CASE_010; DOC_001; WH_002</t>
        </is>
      </c>
      <c r="P48" s="2" t="inlineStr">
        <is>
          <t>如果我们想用历史执法案例评估‘在东南亚加工就能改变原产地并避开美国贸易救济措施’这一假设，现有证据支持什么判断？</t>
        </is>
      </c>
      <c r="Q48" s="2" t="inlineStr">
        <is>
          <t>进口商应预期，如果新关税措施后采购模式发生变化，来自高关税国家的货物经由中介管辖区转运，或声称的原产国缺乏有意义生产证据，原产地主张将受到更严格的审查。 这些事实模式可能引发信息请求、货物搁置、审计查询、EAPA指控或罚款调查。 新的检测工具和执法能力 CBP及其他机构越来越多地拥有先进的数据工具，使转运更容易被识别。 报告描述了一个人工智能驱动的执法平台“侦探边境”，集成了进口数据分析、供应链地图、路由历史、所有权和关联分析、贸易流异常、产能比较以及计算机视觉，以识别高风险货物和潜在的虚假原产地索赔。 CBP的执法行动已经加快。 报告指出，自2025年</t>
        </is>
      </c>
    </row>
    <row r="49">
      <c r="A49" s="2" t="inlineStr">
        <is>
          <t>Q010</t>
        </is>
      </c>
      <c r="B49" s="2" t="n">
        <v>3</v>
      </c>
      <c r="C49" s="2" t="inlineStr">
        <is>
          <t>DHS_001</t>
        </is>
      </c>
      <c r="D49" s="2" t="inlineStr">
        <is>
          <t>Notice Regarding the Uyghur Forced Labor Prevention Act Entity List（UFLPA 实体清单更新公告）</t>
        </is>
      </c>
      <c r="E49" s="2" t="inlineStr">
        <is>
          <t>劳工</t>
        </is>
      </c>
      <c r="F49" s="2" t="inlineStr">
        <is>
          <t>S</t>
        </is>
      </c>
      <c r="G49" s="2" t="n">
        <v>0</v>
      </c>
      <c r="H49" s="2" t="n">
        <v>2</v>
      </c>
      <c r="I49" s="3" t="n">
        <v>0</v>
      </c>
      <c r="J49" s="3" t="n">
        <v>2</v>
      </c>
      <c r="K49" s="2" t="inlineStr">
        <is>
          <t>强迫劳动清单与‘东南亚加工能否改变原产地’无关</t>
        </is>
      </c>
      <c r="L49" s="2" t="inlineStr">
        <is>
          <t>美国国土安全部（DHS，Federal Register）</t>
        </is>
      </c>
      <c r="M49" s="2" t="inlineStr">
        <is>
          <t>Policy / Trade Risk</t>
        </is>
      </c>
      <c r="N49" s="2" t="inlineStr">
        <is>
          <t>trade_policy</t>
        </is>
      </c>
      <c r="O49" s="2" t="inlineStr">
        <is>
          <t>CASE_002; CASE_003; CASE_010; DOC_001; WH_002</t>
        </is>
      </c>
      <c r="P49" s="2" t="inlineStr">
        <is>
          <t>如果我们想用历史执法案例评估‘在东南亚加工就能改变原产地并避开美国贸易救济措施’这一假设，现有证据支持什么判断？</t>
        </is>
      </c>
      <c r="Q49" s="2" t="inlineStr">
        <is>
          <t>Evidence ID: DHS_001 Title: Notice Regarding the Uyghur Forced Labor Prevention Act Entity List（UFLPA 实体清单更新公告） Publisher: 美国国土安全部（DHS，Federal Register） Country/Jurisdiction: US/CN / Federal Publication date: 2026-08-03 Status: CURRENT Topic: 劳工 Applicability scope: GENERAL Relat</t>
        </is>
      </c>
    </row>
    <row r="50">
      <c r="A50" s="2" t="inlineStr">
        <is>
          <t>Q010</t>
        </is>
      </c>
      <c r="B50" s="2" t="n">
        <v>4</v>
      </c>
      <c r="C50" s="2" t="inlineStr">
        <is>
          <t>WH_001</t>
        </is>
      </c>
      <c r="D50" s="2" t="inlineStr">
        <is>
          <t>Executive Order 14411: Strengthening Customs Enforcement（加强海关执法行政令）</t>
        </is>
      </c>
      <c r="E50" s="2" t="inlineStr">
        <is>
          <t>原产地与转运</t>
        </is>
      </c>
      <c r="F50" s="2" t="inlineStr">
        <is>
          <t>S</t>
        </is>
      </c>
      <c r="G50" s="2" t="n">
        <v>1</v>
      </c>
      <c r="H50" s="2" t="n">
        <v>2</v>
      </c>
      <c r="I50" s="3" t="n">
        <v>2</v>
      </c>
      <c r="J50" s="3" t="n">
        <v>2</v>
      </c>
      <c r="K50" s="2" t="inlineStr">
        <is>
          <t>EO14411 加强海关执法，直接回答执法趋势 ｜ 人工判定与Auto(1)不同，请复核</t>
        </is>
      </c>
      <c r="L50" s="2" t="inlineStr">
        <is>
          <t>美国白宫</t>
        </is>
      </c>
      <c r="M50" s="2" t="inlineStr">
        <is>
          <t>Policy / Trade Risk</t>
        </is>
      </c>
      <c r="N50" s="2" t="inlineStr">
        <is>
          <t>trade_policy</t>
        </is>
      </c>
      <c r="O50" s="2" t="inlineStr">
        <is>
          <t>CASE_002; CASE_003; CASE_010; DOC_001; WH_002</t>
        </is>
      </c>
      <c r="P50" s="2" t="inlineStr">
        <is>
          <t>如果我们想用历史执法案例评估‘在东南亚加工就能改变原产地并避开美国贸易救济措施’这一假设，现有证据支持什么判断？</t>
        </is>
      </c>
      <c r="Q50" s="2" t="inlineStr">
        <is>
          <t>Evidence ID: WH_001 Title: Executive Order 14411: Strengthening Customs Enforcement（加强海关执法行政令） Publisher: 美国白宫 Country/Jurisdiction: US / Federal Publication date: 2026-06-03 Status: CURRENT Topic: 原产地与转运 Applicability scope: GENERAL Related industries: 通用 Key finding: 收紧进口商资质、保证</t>
        </is>
      </c>
    </row>
    <row r="51">
      <c r="A51" s="2" t="inlineStr">
        <is>
          <t>Q010</t>
        </is>
      </c>
      <c r="B51" s="2" t="n">
        <v>5</v>
      </c>
      <c r="C51" s="2" t="inlineStr">
        <is>
          <t>WH_002</t>
        </is>
      </c>
      <c r="D51" s="2" t="inlineStr">
        <is>
          <t>The Great Transshipment Scam: Rise, Scope, and Costs（白宫非法转运报告）</t>
        </is>
      </c>
      <c r="E51" s="2" t="inlineStr">
        <is>
          <t>原产地与转运</t>
        </is>
      </c>
      <c r="F51" s="2" t="inlineStr">
        <is>
          <t>S</t>
        </is>
      </c>
      <c r="G51" s="2" t="n">
        <v>2</v>
      </c>
      <c r="H51" s="2" t="n">
        <v>2</v>
      </c>
      <c r="I51" s="3" t="n">
        <v>2</v>
      </c>
      <c r="J51" s="3" t="n">
        <v>2</v>
      </c>
      <c r="K51" s="2" t="inlineStr">
        <is>
          <t>白宫非法转运报告，官方执法立场直接证据</t>
        </is>
      </c>
      <c r="L51" s="2" t="inlineStr">
        <is>
          <t>美国白宫贸易与制造业政策办公室</t>
        </is>
      </c>
      <c r="M51" s="2" t="inlineStr">
        <is>
          <t>Policy / Trade Risk</t>
        </is>
      </c>
      <c r="N51" s="2" t="inlineStr">
        <is>
          <t>trade_policy</t>
        </is>
      </c>
      <c r="O51" s="2" t="inlineStr">
        <is>
          <t>CASE_002; CASE_003; CASE_010; DOC_001; WH_002</t>
        </is>
      </c>
      <c r="P51" s="2" t="inlineStr">
        <is>
          <t>如果我们想用历史执法案例评估‘在东南亚加工就能改变原产地并避开美国贸易救济措施’这一假设，现有证据支持什么判断？</t>
        </is>
      </c>
      <c r="Q51" s="2" t="inlineStr">
        <is>
          <t>Evidence ID: WH_002 Title: The Great Transshipment Scam: Rise, Scope, and Costs（白宫非法转运报告） Publisher: 美国白宫贸易与制造业政策办公室 Country/Jurisdiction: US / Federal Publication date: 2026-08-13 Status: CURRENT Topic: 原产地与转运 Applicability scope: GENERAL Related industries: 通用 Key finding: 点名40</t>
        </is>
      </c>
    </row>
    <row r="52">
      <c r="A52" s="2" t="inlineStr">
        <is>
          <t>Q011</t>
        </is>
      </c>
      <c r="B52" s="2" t="n">
        <v>1</v>
      </c>
      <c r="C52" s="2" t="inlineStr">
        <is>
          <t>CNGOV_001</t>
        </is>
      </c>
      <c r="D52" s="2" t="inlineStr">
        <is>
          <t>国务院关于对外投资的规定（国务院令第837号）</t>
        </is>
      </c>
      <c r="E52" s="2" t="inlineStr">
        <is>
          <t>对外投资</t>
        </is>
      </c>
      <c r="F52" s="2" t="inlineStr">
        <is>
          <t>S</t>
        </is>
      </c>
      <c r="G52" s="2" t="n">
        <v>2</v>
      </c>
      <c r="H52" s="2" t="n">
        <v>2</v>
      </c>
      <c r="I52" s="3" t="n">
        <v>2</v>
      </c>
      <c r="J52" s="3" t="n">
        <v>2</v>
      </c>
      <c r="K52" s="2" t="inlineStr">
        <is>
          <t>中国对外投资官方规则，直接</t>
        </is>
      </c>
      <c r="L52" s="2" t="inlineStr">
        <is>
          <t>中华人民共和国国务院</t>
        </is>
      </c>
      <c r="M52" s="2" t="inlineStr">
        <is>
          <t>Policy / Trade Risk</t>
        </is>
      </c>
      <c r="N52" s="2" t="inlineStr">
        <is>
          <t>investment_policy</t>
        </is>
      </c>
      <c r="O52" s="2" t="inlineStr">
        <is>
          <t>CNGOV_001; IMF_001; UNCTAD_001</t>
        </is>
      </c>
      <c r="P52" s="2" t="inlineStr">
        <is>
          <t>一家中国制造企业计划新建海外工厂。2026年中国对外投资制度中有哪些官方规则、以及哪些国际投资环境证据，应纳入项目立项和合规评估？</t>
        </is>
      </c>
      <c r="Q52" s="2" t="inlineStr">
        <is>
          <t>中华⼈⺠共和国国务院令中华⼈⺠共和国国务院令 第 837 号 《国务院关于对外投资的规定》已经2026年4⽉17⽇国务院第83次常务会议通过，现予公布，⾃2026年7⽉1⽇起施⾏。 总 理 李 强 2026年5⽉5⽇ 国务院关于对外投资的规定国务院关于对外投资的规定 第⼀条第⼀条 为了推进⾼⽔平对外开放，促进对外投资⾼质量发展，有效实施对外投资管理，保护投资者及其对外投资合法权益，维护国家主权、安全、发展利益，根据《中华⼈⺠共和国对外关系法》、《中华⼈⺠共和国对外贸易法》等法律，制定本规定。第⼆条第⼆条 中华⼈⺠共和国境内（以下简称中国境内）投资者对外投</t>
        </is>
      </c>
    </row>
    <row r="53">
      <c r="A53" s="2" t="inlineStr">
        <is>
          <t>Q011</t>
        </is>
      </c>
      <c r="B53" s="2" t="n">
        <v>2</v>
      </c>
      <c r="C53" s="2" t="inlineStr">
        <is>
          <t>IMF_001</t>
        </is>
      </c>
      <c r="D53" s="2" t="inlineStr">
        <is>
          <t>World Economic Outlook, April 2023, Chapter 4: Geoeconomic Fragmentation and Foreign Direct Investment</t>
        </is>
      </c>
      <c r="E53" s="2" t="inlineStr">
        <is>
          <t>对外投资</t>
        </is>
      </c>
      <c r="F53" s="2" t="inlineStr">
        <is>
          <t>A+</t>
        </is>
      </c>
      <c r="G53" s="2" t="n">
        <v>2</v>
      </c>
      <c r="H53" s="2" t="n">
        <v>2</v>
      </c>
      <c r="I53" s="3" t="n">
        <v>2</v>
      </c>
      <c r="J53" s="3" t="n">
        <v>2</v>
      </c>
      <c r="K53" s="2" t="inlineStr">
        <is>
          <t>地缘经济碎片化框架，国际投资环境证据，直接</t>
        </is>
      </c>
      <c r="L53" s="2" t="inlineStr">
        <is>
          <t>国际货币基金组织（IMF）</t>
        </is>
      </c>
      <c r="M53" s="2" t="inlineStr">
        <is>
          <t>Policy / Trade Risk</t>
        </is>
      </c>
      <c r="N53" s="2" t="inlineStr">
        <is>
          <t>investment_policy</t>
        </is>
      </c>
      <c r="O53" s="2" t="inlineStr">
        <is>
          <t>CNGOV_001; IMF_001; UNCTAD_001</t>
        </is>
      </c>
      <c r="P53" s="2" t="inlineStr">
        <is>
          <t>一家中国制造企业计划新建海外工厂。2026年中国对外投资制度中有哪些官方规则、以及哪些国际投资环境证据，应纳入项目立项和合规评估？</t>
        </is>
      </c>
      <c r="Q53" s="2" t="inlineStr">
        <is>
          <t>Evidence ID: IMF_001 Title: World Economic Outlook, April 2023, Chapter 4: Geoeconomic Fragmentation and Foreign Direct Investment Publisher: 国际货币基金组织（IMF） Country/Jurisdiction: 全球 Publication date: 2023-04 Status: CURRENT Topic: 对外投资 Applicability scope: GENERAL Related industri</t>
        </is>
      </c>
    </row>
    <row r="54">
      <c r="A54" s="2" t="inlineStr">
        <is>
          <t>Q011</t>
        </is>
      </c>
      <c r="B54" s="2" t="n">
        <v>3</v>
      </c>
      <c r="C54" s="2" t="inlineStr">
        <is>
          <t>UNCTAD_001</t>
        </is>
      </c>
      <c r="D54" s="2" t="inlineStr">
        <is>
          <t>World Investment Report 2026: International Investment in a Turbulent Era</t>
        </is>
      </c>
      <c r="E54" s="2" t="inlineStr">
        <is>
          <t>对外投资</t>
        </is>
      </c>
      <c r="F54" s="2" t="inlineStr">
        <is>
          <t>A+</t>
        </is>
      </c>
      <c r="G54" s="2" t="n">
        <v>2</v>
      </c>
      <c r="H54" s="2" t="n">
        <v>2</v>
      </c>
      <c r="I54" s="3" t="n">
        <v>2</v>
      </c>
      <c r="J54" s="3" t="n">
        <v>2</v>
      </c>
      <c r="K54" s="2" t="inlineStr">
        <is>
          <t>世界投资报告，国际投资环境直接证据</t>
        </is>
      </c>
      <c r="L54" s="2" t="inlineStr">
        <is>
          <t>联合国贸易和发展会议（UNCTAD）</t>
        </is>
      </c>
      <c r="M54" s="2" t="inlineStr">
        <is>
          <t>Policy / Trade Risk</t>
        </is>
      </c>
      <c r="N54" s="2" t="inlineStr">
        <is>
          <t>investment_policy</t>
        </is>
      </c>
      <c r="O54" s="2" t="inlineStr">
        <is>
          <t>CNGOV_001; IMF_001; UNCTAD_001</t>
        </is>
      </c>
      <c r="P54" s="2" t="inlineStr">
        <is>
          <t>一家中国制造企业计划新建海外工厂。2026年中国对外投资制度中有哪些官方规则、以及哪些国际投资环境证据，应纳入项目立项和合规评估？</t>
        </is>
      </c>
      <c r="Q54" s="2" t="inlineStr">
        <is>
          <t>Evidence ID: UNCTAD_001 Title: World Investment Report 2026: International Investment in a Turbulent Era Publisher: 联合国贸易和发展会议（UNCTAD） Country/Jurisdiction: 全球 Publication date: 2026-07-07 Status: CURRENT Topic: 对外投资 Applicability scope: GENERAL Related industries: 通用 Key finding</t>
        </is>
      </c>
    </row>
    <row r="55">
      <c r="A55" s="2" t="inlineStr">
        <is>
          <t>Q011</t>
        </is>
      </c>
      <c r="B55" s="2" t="n">
        <v>4</v>
      </c>
      <c r="C55" s="2" t="inlineStr">
        <is>
          <t>CASE_001</t>
        </is>
      </c>
      <c r="D55" s="2" t="inlineStr">
        <is>
          <t>Dawang Metals：客户订单转移印度后回流，企业放弃海外建厂</t>
        </is>
      </c>
      <c r="E55" s="2" t="inlineStr">
        <is>
          <t>供应链布局</t>
        </is>
      </c>
      <c r="F55" s="2" t="inlineStr">
        <is>
          <t>B+</t>
        </is>
      </c>
      <c r="G55" s="2" t="n">
        <v>0</v>
      </c>
      <c r="H55" s="2" t="n">
        <v>1</v>
      </c>
      <c r="I55" s="3" t="n">
        <v>1</v>
      </c>
      <c r="J55" s="3" t="n">
        <v>1</v>
      </c>
      <c r="K55" s="2" t="inlineStr">
        <is>
          <t>企业放弃海外建厂个案，可作立项风险实例，非制度/环境证据 ｜ 人工判定与Auto(0)不同，请复核</t>
        </is>
      </c>
      <c r="L55" s="2" t="inlineStr">
        <is>
          <t>路透社（Reuters）</t>
        </is>
      </c>
      <c r="M55" s="2" t="inlineStr">
        <is>
          <t>Policy / Trade Risk</t>
        </is>
      </c>
      <c r="N55" s="2" t="inlineStr">
        <is>
          <t>investment_policy</t>
        </is>
      </c>
      <c r="O55" s="2" t="inlineStr">
        <is>
          <t>CNGOV_001; IMF_001; UNCTAD_001</t>
        </is>
      </c>
      <c r="P55" s="2" t="inlineStr">
        <is>
          <t>一家中国制造企业计划新建海外工厂。2026年中国对外投资制度中有哪些官方规则、以及哪些国际投资环境证据，应纳入项目立项和合规评估？</t>
        </is>
      </c>
      <c r="Q55" s="2" t="inlineStr">
        <is>
          <t>Evidence ID: CASE_001 Title: Dawang Metals：客户订单转移印度后回流，企业放弃海外建厂 Publisher: 路透社（Reuters） Country/Jurisdiction: CN / National Publication date: 2026-09-14 Status: CURRENT Topic: 供应链布局 Applicability scope: GENERAL Related industries: 金属铸造 Key finding: 路透原文《Companies left China to do</t>
        </is>
      </c>
    </row>
    <row r="56">
      <c r="A56" s="2" t="inlineStr">
        <is>
          <t>Q011</t>
        </is>
      </c>
      <c r="B56" s="2" t="n">
        <v>5</v>
      </c>
      <c r="C56" s="2" t="inlineStr">
        <is>
          <t>DHS_001</t>
        </is>
      </c>
      <c r="D56" s="2" t="inlineStr">
        <is>
          <t>Notice Regarding the Uyghur Forced Labor Prevention Act Entity List（UFLPA 实体清单更新公告）</t>
        </is>
      </c>
      <c r="E56" s="2" t="inlineStr">
        <is>
          <t>劳工</t>
        </is>
      </c>
      <c r="F56" s="2" t="inlineStr">
        <is>
          <t>S</t>
        </is>
      </c>
      <c r="G56" s="2" t="n">
        <v>0</v>
      </c>
      <c r="H56" s="2" t="n">
        <v>2</v>
      </c>
      <c r="I56" s="3" t="n">
        <v>0</v>
      </c>
      <c r="J56" s="3" t="n">
        <v>2</v>
      </c>
      <c r="K56" s="2" t="inlineStr">
        <is>
          <t>既非中国对外投资规则，也非国际投资环境证据</t>
        </is>
      </c>
      <c r="L56" s="2" t="inlineStr">
        <is>
          <t>美国国土安全部（DHS，Federal Register）</t>
        </is>
      </c>
      <c r="M56" s="2" t="inlineStr">
        <is>
          <t>Policy / Trade Risk</t>
        </is>
      </c>
      <c r="N56" s="2" t="inlineStr">
        <is>
          <t>investment_policy</t>
        </is>
      </c>
      <c r="O56" s="2" t="inlineStr">
        <is>
          <t>CNGOV_001; IMF_001; UNCTAD_001</t>
        </is>
      </c>
      <c r="P56" s="2" t="inlineStr">
        <is>
          <t>一家中国制造企业计划新建海外工厂。2026年中国对外投资制度中有哪些官方规则、以及哪些国际投资环境证据，应纳入项目立项和合规评估？</t>
        </is>
      </c>
      <c r="Q56" s="2" t="inlineStr">
        <is>
          <t>Evidence ID: DHS_001 Title: Notice Regarding the Uyghur Forced Labor Prevention Act Entity List（UFLPA 实体清单更新公告） Publisher: 美国国土安全部（DHS，Federal Register） Country/Jurisdiction: US/CN / Federal Publication date: 2026-08-03 Status: CURRENT Topic: 劳工 Applicability scope: GENERAL Relat</t>
        </is>
      </c>
    </row>
    <row r="57">
      <c r="A57" s="2" t="inlineStr">
        <is>
          <t>Q012</t>
        </is>
      </c>
      <c r="B57" s="2" t="n">
        <v>1</v>
      </c>
      <c r="C57" s="2" t="inlineStr">
        <is>
          <t>WTO_002</t>
        </is>
      </c>
      <c r="D57" s="2" t="inlineStr">
        <is>
          <t>Trade Policy Review: Report by the Secretariat — India（WT/TPR/S/403）印度第七次贸易政策审议秘书处报告</t>
        </is>
      </c>
      <c r="E57" s="2" t="inlineStr">
        <is>
          <t>贸易流</t>
        </is>
      </c>
      <c r="F57" s="2" t="inlineStr">
        <is>
          <t>A+</t>
        </is>
      </c>
      <c r="G57" s="2" t="n">
        <v>0</v>
      </c>
      <c r="H57" s="2" t="n">
        <v>2</v>
      </c>
      <c r="I57" s="3" t="n">
        <v>1</v>
      </c>
      <c r="J57" s="3" t="n">
        <v>2</v>
      </c>
      <c r="K57" s="2" t="inlineStr">
        <is>
          <t>WTO 对印贸易政策审议属官方贸易政策环境证据，可用作碎片化的国别佐证，但非国际组织宏观/投资证据 ｜ 人工判定与Auto(0)不同，请复核</t>
        </is>
      </c>
      <c r="L57" s="2" t="inlineStr">
        <is>
          <t>世界贸易组织（WTO）</t>
        </is>
      </c>
      <c r="M57" s="2" t="inlineStr">
        <is>
          <t>Policy / Trade Risk</t>
        </is>
      </c>
      <c r="N57" s="2" t="inlineStr">
        <is>
          <t>investment_policy</t>
        </is>
      </c>
      <c r="O57" s="2" t="inlineStr">
        <is>
          <t>IMF_001; MCK_001; UNCTAD_001; WEF_001</t>
        </is>
      </c>
      <c r="P57" s="2" t="inlineStr">
        <is>
          <t>管理层需要判断地缘经济碎片化是否会持续影响跨境投资决策。哪些国际组织证据可以支持这一政策/投资风险判断？</t>
        </is>
      </c>
      <c r="Q57" s="2" t="inlineStr">
        <is>
          <t>Evidence ID: WTO_002 Title: Trade Policy Review: Report by the Secretariat — India（WT/TPR/S/403）印度第七次贸易政策审议秘书处报告 Publisher: 世界贸易组织（WTO） Country/Jurisdiction: IN / National Publication date: 2020-11-25 Status: CURRENT Topic: 贸易流 Applicability scope: GENERAL Related industries: 通用</t>
        </is>
      </c>
    </row>
    <row r="58">
      <c r="A58" s="2" t="inlineStr">
        <is>
          <t>Q012</t>
        </is>
      </c>
      <c r="B58" s="2" t="n">
        <v>2</v>
      </c>
      <c r="C58" s="2" t="inlineStr">
        <is>
          <t>WEF_001</t>
        </is>
      </c>
      <c r="D58" s="2" t="inlineStr">
        <is>
          <t>Global Risks Report 2026（全球风险报告2026，第21版）</t>
        </is>
      </c>
      <c r="E58" s="2" t="inlineStr">
        <is>
          <t>宏观风险</t>
        </is>
      </c>
      <c r="F58" s="2" t="inlineStr">
        <is>
          <t>A+</t>
        </is>
      </c>
      <c r="G58" s="2" t="n">
        <v>2</v>
      </c>
      <c r="H58" s="2" t="n">
        <v>2</v>
      </c>
      <c r="I58" s="3" t="n">
        <v>2</v>
      </c>
      <c r="J58" s="3" t="n">
        <v>2</v>
      </c>
      <c r="K58" s="2" t="inlineStr">
        <is>
          <t>地缘经济对抗列为首要风险，直接</t>
        </is>
      </c>
      <c r="L58" s="2" t="inlineStr">
        <is>
          <t>世界经济论坛（WEF）</t>
        </is>
      </c>
      <c r="M58" s="2" t="inlineStr">
        <is>
          <t>Policy / Trade Risk</t>
        </is>
      </c>
      <c r="N58" s="2" t="inlineStr">
        <is>
          <t>investment_policy</t>
        </is>
      </c>
      <c r="O58" s="2" t="inlineStr">
        <is>
          <t>IMF_001; MCK_001; UNCTAD_001; WEF_001</t>
        </is>
      </c>
      <c r="P58" s="2" t="inlineStr">
        <is>
          <t>管理层需要判断地缘经济碎片化是否会持续影响跨境投资决策。哪些国际组织证据可以支持这一政策/投资风险判断？</t>
        </is>
      </c>
      <c r="Q58" s="2" t="inlineStr">
        <is>
          <t>Evidence ID: WEF_001 Title: Global Risks Report 2026（全球风险报告2026，第21版） Publisher: 世界经济论坛（WEF） Country/Jurisdiction: 全球 Publication date: 2026-01-14 Status: CURRENT Topic: 宏观风险 Applicability scope: GENERAL Related industries: 通用 Key finding: 地缘经济对抗列为2026年首要风险。仅作PPT背景。</t>
        </is>
      </c>
    </row>
    <row r="59">
      <c r="A59" s="2" t="inlineStr">
        <is>
          <t>Q012</t>
        </is>
      </c>
      <c r="B59" s="2" t="n">
        <v>3</v>
      </c>
      <c r="C59" s="2" t="inlineStr">
        <is>
          <t>UNCTAD_001</t>
        </is>
      </c>
      <c r="D59" s="2" t="inlineStr">
        <is>
          <t>World Investment Report 2026: International Investment in a Turbulent Era</t>
        </is>
      </c>
      <c r="E59" s="2" t="inlineStr">
        <is>
          <t>对外投资</t>
        </is>
      </c>
      <c r="F59" s="2" t="inlineStr">
        <is>
          <t>A+</t>
        </is>
      </c>
      <c r="G59" s="2" t="n">
        <v>2</v>
      </c>
      <c r="H59" s="2" t="n">
        <v>2</v>
      </c>
      <c r="I59" s="3" t="n">
        <v>2</v>
      </c>
      <c r="J59" s="3" t="n">
        <v>2</v>
      </c>
      <c r="K59" s="2" t="inlineStr">
        <is>
          <t>动荡期FDI趋势，直接</t>
        </is>
      </c>
      <c r="L59" s="2" t="inlineStr">
        <is>
          <t>联合国贸易和发展会议（UNCTAD）</t>
        </is>
      </c>
      <c r="M59" s="2" t="inlineStr">
        <is>
          <t>Policy / Trade Risk</t>
        </is>
      </c>
      <c r="N59" s="2" t="inlineStr">
        <is>
          <t>investment_policy</t>
        </is>
      </c>
      <c r="O59" s="2" t="inlineStr">
        <is>
          <t>IMF_001; MCK_001; UNCTAD_001; WEF_001</t>
        </is>
      </c>
      <c r="P59" s="2" t="inlineStr">
        <is>
          <t>管理层需要判断地缘经济碎片化是否会持续影响跨境投资决策。哪些国际组织证据可以支持这一政策/投资风险判断？</t>
        </is>
      </c>
      <c r="Q59" s="2" t="inlineStr">
        <is>
          <t>China remained the fourth largest destination for FDI in 2025, with trends indicating a transition from rapid expansion to more selective and strategic investment. Source: UNCTAD, based on information from the Ministry of Commerce, People’s Republic of China. a. Xinyi Li, An open</t>
        </is>
      </c>
    </row>
    <row r="60">
      <c r="A60" s="2" t="inlineStr">
        <is>
          <t>Q012</t>
        </is>
      </c>
      <c r="B60" s="2" t="n">
        <v>4</v>
      </c>
      <c r="C60" s="2" t="inlineStr">
        <is>
          <t>CNGOV_001</t>
        </is>
      </c>
      <c r="D60" s="2" t="inlineStr">
        <is>
          <t>国务院关于对外投资的规定（国务院令第837号）</t>
        </is>
      </c>
      <c r="E60" s="2" t="inlineStr">
        <is>
          <t>对外投资</t>
        </is>
      </c>
      <c r="F60" s="2" t="inlineStr">
        <is>
          <t>S</t>
        </is>
      </c>
      <c r="G60" s="2" t="n">
        <v>1</v>
      </c>
      <c r="H60" s="2" t="n">
        <v>2</v>
      </c>
      <c r="I60" s="3" t="n">
        <v>1</v>
      </c>
      <c r="J60" s="3" t="n">
        <v>2</v>
      </c>
      <c r="K60" s="2" t="inlineStr">
        <is>
          <t>中国国内规定，非国际组织证据</t>
        </is>
      </c>
      <c r="L60" s="2" t="inlineStr">
        <is>
          <t>中华人民共和国国务院</t>
        </is>
      </c>
      <c r="M60" s="2" t="inlineStr">
        <is>
          <t>Policy / Trade Risk</t>
        </is>
      </c>
      <c r="N60" s="2" t="inlineStr">
        <is>
          <t>investment_policy</t>
        </is>
      </c>
      <c r="O60" s="2" t="inlineStr">
        <is>
          <t>IMF_001; MCK_001; UNCTAD_001; WEF_001</t>
        </is>
      </c>
      <c r="P60" s="2" t="inlineStr">
        <is>
          <t>管理层需要判断地缘经济碎片化是否会持续影响跨境投资决策。哪些国际组织证据可以支持这一政策/投资风险判断？</t>
        </is>
      </c>
      <c r="Q60" s="2" t="inlineStr">
        <is>
          <t>第六条第六条 国家健全海外综合服务体系，促进贸易投资⼀体化，完善公共平台与服务，统筹外事、法律、财税、⾦融、经贸、物流、出境⼊境、海关、贸促等领域服务资源，为投资者提供服务保障。 省级以上⼈⺠政府及其有关部⻔提升公共服务能⼒和⽔平，为投资者提供法律法规、政策措施、投资指南、知识产权、⻛险防范应对、权益保护等⽅⾯的公共产品和服务。 第七条第七条 ⽀持咨询评估、法律服务、会计审计、信⽤评级、调解仲裁、知识产权等专业服务机构拓展海外服务⽹络，提⾼国际化服务能⼒和⽔平，为投资者及其对外投资提供⾼质量专业服务。 有关专业服务机构应当遵循诚实守信、勤勉尽责、独⽴客观</t>
        </is>
      </c>
    </row>
    <row r="61">
      <c r="A61" s="2" t="inlineStr">
        <is>
          <t>Q012</t>
        </is>
      </c>
      <c r="B61" s="2" t="n">
        <v>5</v>
      </c>
      <c r="C61" s="2" t="inlineStr">
        <is>
          <t>WTO_004</t>
        </is>
      </c>
      <c r="D61" s="2" t="inlineStr">
        <is>
          <t>Trade Policy Review: Report by the Secretariat — Indonesia（WT/TPR/S/401）印尼第七次贸易政策审议秘书处报告</t>
        </is>
      </c>
      <c r="E61" s="2" t="inlineStr">
        <is>
          <t>本地化政策</t>
        </is>
      </c>
      <c r="F61" s="2" t="inlineStr">
        <is>
          <t>A+</t>
        </is>
      </c>
      <c r="G61" s="2" t="n">
        <v>0</v>
      </c>
      <c r="H61" s="2" t="n">
        <v>2</v>
      </c>
      <c r="I61" s="3" t="n">
        <v>1</v>
      </c>
      <c r="J61" s="3" t="n">
        <v>2</v>
      </c>
      <c r="K61" s="2" t="inlineStr">
        <is>
          <t>WTO 对印尼贸易政策审议，同上：国别贸易政策环境证据，非全球宏观趋势证据 ｜ 人工判定与Auto(0)不同，请复核</t>
        </is>
      </c>
      <c r="L61" s="2" t="inlineStr">
        <is>
          <t>世界贸易组织（WTO）</t>
        </is>
      </c>
      <c r="M61" s="2" t="inlineStr">
        <is>
          <t>Policy / Trade Risk</t>
        </is>
      </c>
      <c r="N61" s="2" t="inlineStr">
        <is>
          <t>investment_policy</t>
        </is>
      </c>
      <c r="O61" s="2" t="inlineStr">
        <is>
          <t>IMF_001; MCK_001; UNCTAD_001; WEF_001</t>
        </is>
      </c>
      <c r="P61" s="2" t="inlineStr">
        <is>
          <t>管理层需要判断地缘经济碎片化是否会持续影响跨境投资决策。哪些国际组织证据可以支持这一政策/投资风险判断？</t>
        </is>
      </c>
      <c r="Q61" s="2" t="inlineStr">
        <is>
          <t>122 Indonesia Investments, Holding Company for Indonesia's State-Owned Miners Ready in Q1-2017. Viewed at: https://www. indonesia-investments. com/news/todays-headlines/holding-company-for-indonesia-s- state-owned-miners-ready-in-q1-2017/item7541; and Deloitte, 2019-20 Investment</t>
        </is>
      </c>
    </row>
    <row r="62">
      <c r="A62" s="2" t="inlineStr">
        <is>
          <t>Q013</t>
        </is>
      </c>
      <c r="B62" s="2" t="n">
        <v>1</v>
      </c>
      <c r="C62" s="2" t="inlineStr">
        <is>
          <t>IMF_001</t>
        </is>
      </c>
      <c r="D62" s="2" t="inlineStr">
        <is>
          <t>World Economic Outlook, April 2023, Chapter 4: Geoeconomic Fragmentation and Foreign Direct Investment</t>
        </is>
      </c>
      <c r="E62" s="2" t="inlineStr">
        <is>
          <t>对外投资</t>
        </is>
      </c>
      <c r="F62" s="2" t="inlineStr">
        <is>
          <t>A+</t>
        </is>
      </c>
      <c r="G62" s="2" t="n">
        <v>2</v>
      </c>
      <c r="H62" s="2" t="n">
        <v>2</v>
      </c>
      <c r="I62" s="3" t="n">
        <v>2</v>
      </c>
      <c r="J62" s="3" t="n">
        <v>2</v>
      </c>
      <c r="K62" s="2" t="inlineStr">
        <is>
          <t>FDI与地缘经济碎片化框架，直接</t>
        </is>
      </c>
      <c r="L62" s="2" t="inlineStr">
        <is>
          <t>国际货币基金组织（IMF）</t>
        </is>
      </c>
      <c r="M62" s="2" t="inlineStr">
        <is>
          <t>Policy / Trade Risk</t>
        </is>
      </c>
      <c r="N62" s="2" t="inlineStr">
        <is>
          <t>trade_policy</t>
        </is>
      </c>
      <c r="O62" s="2" t="inlineStr">
        <is>
          <t>IMF_001; MCK_001; UNCTAD_001; WEF_001; WTO_001</t>
        </is>
      </c>
      <c r="P62" s="2" t="inlineStr">
        <is>
          <t>我们需要给董事会解释2026年全球贸易环境是否正在恶化，以及这种环境为什么会提高海外布局的不确定性。现有高权威证据有哪些？</t>
        </is>
      </c>
      <c r="Q62" s="2" t="inlineStr">
        <is>
          <t>Evidence ID: IMF_001 Title: World Economic Outlook, April 2023, Chapter 4: Geoeconomic Fragmentation and Foreign Direct Investment Publisher: 国际货币基金组织（IMF） Country/Jurisdiction: 全球 Publication date: 2023-04 Status: CURRENT Topic: 对外投资 Applicability scope: GENERAL Related industri</t>
        </is>
      </c>
    </row>
    <row r="63">
      <c r="A63" s="2" t="inlineStr">
        <is>
          <t>Q013</t>
        </is>
      </c>
      <c r="B63" s="2" t="n">
        <v>2</v>
      </c>
      <c r="C63" s="2" t="inlineStr">
        <is>
          <t>UNCTAD_001</t>
        </is>
      </c>
      <c r="D63" s="2" t="inlineStr">
        <is>
          <t>World Investment Report 2026: International Investment in a Turbulent Era</t>
        </is>
      </c>
      <c r="E63" s="2" t="inlineStr">
        <is>
          <t>对外投资</t>
        </is>
      </c>
      <c r="F63" s="2" t="inlineStr">
        <is>
          <t>A+</t>
        </is>
      </c>
      <c r="G63" s="2" t="n">
        <v>2</v>
      </c>
      <c r="H63" s="2" t="n">
        <v>2</v>
      </c>
      <c r="I63" s="3" t="n">
        <v>2</v>
      </c>
      <c r="J63" s="3" t="n">
        <v>2</v>
      </c>
      <c r="K63" s="2" t="inlineStr">
        <is>
          <t>全球投资与地缘经济趋势，直接</t>
        </is>
      </c>
      <c r="L63" s="2" t="inlineStr">
        <is>
          <t>联合国贸易和发展会议（UNCTAD）</t>
        </is>
      </c>
      <c r="M63" s="2" t="inlineStr">
        <is>
          <t>Policy / Trade Risk</t>
        </is>
      </c>
      <c r="N63" s="2" t="inlineStr">
        <is>
          <t>trade_policy</t>
        </is>
      </c>
      <c r="O63" s="2" t="inlineStr">
        <is>
          <t>IMF_001; MCK_001; UNCTAD_001; WEF_001; WTO_001</t>
        </is>
      </c>
      <c r="P63" s="2" t="inlineStr">
        <is>
          <t>我们需要给董事会解释2026年全球贸易环境是否正在恶化，以及这种环境为什么会提高海外布局的不确定性。现有高权威证据有哪些？</t>
        </is>
      </c>
      <c r="Q63" s="2" t="inlineStr">
        <is>
          <t>Evidence ID: UNCTAD_001 Title: World Investment Report 2026: International Investment in a Turbulent Era Publisher: 联合国贸易和发展会议（UNCTAD） Country/Jurisdiction: 全球 Publication date: 2026-07-07 Status: CURRENT Topic: 对外投资 Applicability scope: GENERAL Related industries: 通用 Key finding</t>
        </is>
      </c>
    </row>
    <row r="64">
      <c r="A64" s="2" t="inlineStr">
        <is>
          <t>Q013</t>
        </is>
      </c>
      <c r="B64" s="2" t="n">
        <v>3</v>
      </c>
      <c r="C64" s="2" t="inlineStr">
        <is>
          <t>WTO_001</t>
        </is>
      </c>
      <c r="D64" s="2" t="inlineStr">
        <is>
          <t>Global Trade Outlook and Statistics（2026年3月版）</t>
        </is>
      </c>
      <c r="E64" s="2" t="inlineStr">
        <is>
          <t>贸易流</t>
        </is>
      </c>
      <c r="F64" s="2" t="inlineStr">
        <is>
          <t>A+</t>
        </is>
      </c>
      <c r="G64" s="2" t="n">
        <v>2</v>
      </c>
      <c r="H64" s="2" t="n">
        <v>2</v>
      </c>
      <c r="I64" s="3" t="n">
        <v>2</v>
      </c>
      <c r="J64" s="3" t="n">
        <v>2</v>
      </c>
      <c r="K64" s="2" t="inlineStr">
        <is>
          <t>货物贸易增速放缓，直接</t>
        </is>
      </c>
      <c r="L64" s="2" t="inlineStr">
        <is>
          <t>世界贸易组织（WTO）</t>
        </is>
      </c>
      <c r="M64" s="2" t="inlineStr">
        <is>
          <t>Policy / Trade Risk</t>
        </is>
      </c>
      <c r="N64" s="2" t="inlineStr">
        <is>
          <t>trade_policy</t>
        </is>
      </c>
      <c r="O64" s="2" t="inlineStr">
        <is>
          <t>IMF_001; MCK_001; UNCTAD_001; WEF_001; WTO_001</t>
        </is>
      </c>
      <c r="P64" s="2" t="inlineStr">
        <is>
          <t>我们需要给董事会解释2026年全球贸易环境是否正在恶化，以及这种环境为什么会提高海外布局的不确定性。现有高权威证据有哪些？</t>
        </is>
      </c>
      <c r="Q64" s="2" t="inlineStr">
        <is>
          <t>Evidence ID: WTO_001 Title: Global Trade Outlook and Statistics（2026年3月版） Publisher: 世界贸易组织（WTO） Country/Jurisdiction: 全球 Publication date: 2026-03 Status: CURRENT Topic: 贸易流 Applicability scope: GENERAL Related industries: 通用 Key finding: 基准情景下2026年货物贸易量增速由2025年的4.6%放缓至1.9%。 Glo</t>
        </is>
      </c>
    </row>
    <row r="65">
      <c r="A65" s="2" t="inlineStr">
        <is>
          <t>Q013</t>
        </is>
      </c>
      <c r="B65" s="2" t="n">
        <v>4</v>
      </c>
      <c r="C65" s="2" t="inlineStr">
        <is>
          <t>MCK_001</t>
        </is>
      </c>
      <c r="D65" s="2" t="inlineStr">
        <is>
          <t>The art, science, and technology of geopolitical scenario planning</t>
        </is>
      </c>
      <c r="E65" s="2" t="inlineStr">
        <is>
          <t>宏观风险</t>
        </is>
      </c>
      <c r="F65" s="2" t="inlineStr">
        <is>
          <t>A</t>
        </is>
      </c>
      <c r="G65" s="2" t="n">
        <v>2</v>
      </c>
      <c r="H65" s="2" t="n">
        <v>2</v>
      </c>
      <c r="I65" s="3" t="n">
        <v>2</v>
      </c>
      <c r="J65" s="3" t="n">
        <v>2</v>
      </c>
      <c r="K65" s="2" t="inlineStr">
        <is>
          <t>地缘政治情景规划方法，直接支撑海外布局不确定性分析</t>
        </is>
      </c>
      <c r="L65" s="2" t="inlineStr">
        <is>
          <t>麦肯锡（McKinsey）</t>
        </is>
      </c>
      <c r="M65" s="2" t="inlineStr">
        <is>
          <t>Policy / Trade Risk</t>
        </is>
      </c>
      <c r="N65" s="2" t="inlineStr">
        <is>
          <t>trade_policy</t>
        </is>
      </c>
      <c r="O65" s="2" t="inlineStr">
        <is>
          <t>IMF_001; MCK_001; UNCTAD_001; WEF_001; WTO_001</t>
        </is>
      </c>
      <c r="P65" s="2" t="inlineStr">
        <is>
          <t>我们需要给董事会解释2026年全球贸易环境是否正在恶化，以及这种环境为什么会提高海外布局的不确定性。现有高权威证据有哪些？</t>
        </is>
      </c>
      <c r="Q65" s="2" t="inlineStr">
        <is>
          <t>Evidence ID: MCK_001 Title: The art, science, and technology of geopolitical scenario planning Publisher: 麦肯锡（McKinsey） Country/Jurisdiction: 全球 Publication date: 2026-06-10 Status: CURRENT Topic: 宏观风险 Applicability scope: GENERAL Related industries: 通用 Key finding: 基于2026年2月对202</t>
        </is>
      </c>
    </row>
    <row r="66">
      <c r="A66" s="2" t="inlineStr">
        <is>
          <t>Q013</t>
        </is>
      </c>
      <c r="B66" s="2" t="n">
        <v>5</v>
      </c>
      <c r="C66" s="2" t="inlineStr">
        <is>
          <t>WEF_001</t>
        </is>
      </c>
      <c r="D66" s="2" t="inlineStr">
        <is>
          <t>Global Risks Report 2026（全球风险报告2026，第21版）</t>
        </is>
      </c>
      <c r="E66" s="2" t="inlineStr">
        <is>
          <t>宏观风险</t>
        </is>
      </c>
      <c r="F66" s="2" t="inlineStr">
        <is>
          <t>A+</t>
        </is>
      </c>
      <c r="G66" s="2" t="n">
        <v>2</v>
      </c>
      <c r="H66" s="2" t="n">
        <v>2</v>
      </c>
      <c r="I66" s="3" t="n">
        <v>2</v>
      </c>
      <c r="J66" s="3" t="n">
        <v>2</v>
      </c>
      <c r="K66" s="2" t="inlineStr">
        <is>
          <t>全球风险报告将地缘经济对抗列为首要风险，直接支撑判断</t>
        </is>
      </c>
      <c r="L66" s="2" t="inlineStr">
        <is>
          <t>世界经济论坛（WEF）</t>
        </is>
      </c>
      <c r="M66" s="2" t="inlineStr">
        <is>
          <t>Policy / Trade Risk</t>
        </is>
      </c>
      <c r="N66" s="2" t="inlineStr">
        <is>
          <t>trade_policy</t>
        </is>
      </c>
      <c r="O66" s="2" t="inlineStr">
        <is>
          <t>IMF_001; MCK_001; UNCTAD_001; WEF_001; WTO_001</t>
        </is>
      </c>
      <c r="P66" s="2" t="inlineStr">
        <is>
          <t>我们需要给董事会解释2026年全球贸易环境是否正在恶化，以及这种环境为什么会提高海外布局的不确定性。现有高权威证据有哪些？</t>
        </is>
      </c>
      <c r="Q66" s="2" t="inlineStr">
        <is>
          <t>Evidence ID: WEF_001 Title: Global Risks Report 2026（全球风险报告2026，第21版） Publisher: 世界经济论坛（WEF） Country/Jurisdiction: 全球 Publication date: 2026-01-14 Status: CURRENT Topic: 宏观风险 Applicability scope: GENERAL Related industries: 通用 Key finding: 地缘经济对抗列为2026年首要风险。仅作PPT背景。</t>
        </is>
      </c>
    </row>
    <row r="67">
      <c r="A67" s="2" t="inlineStr">
        <is>
          <t>Q014</t>
        </is>
      </c>
      <c r="B67" s="2" t="n">
        <v>1</v>
      </c>
      <c r="C67" s="2" t="inlineStr">
        <is>
          <t>ITA_001</t>
        </is>
      </c>
      <c r="D67" s="2" t="inlineStr">
        <is>
          <t>Consolidated Screening List API（美国合并筛查清单）</t>
        </is>
      </c>
      <c r="E67" s="2" t="inlineStr">
        <is>
          <t>出口管制</t>
        </is>
      </c>
      <c r="F67" s="2" t="inlineStr">
        <is>
          <t>S</t>
        </is>
      </c>
      <c r="G67" s="2" t="n">
        <v>2</v>
      </c>
      <c r="H67" s="2" t="n">
        <v>2</v>
      </c>
      <c r="I67" s="3" t="n">
        <v>2</v>
      </c>
      <c r="J67" s="3" t="n">
        <v>2</v>
      </c>
      <c r="K67" s="2" t="inlineStr">
        <is>
          <t>合并筛查清单，直接回答筛查数据源</t>
        </is>
      </c>
      <c r="L67" s="2" t="inlineStr">
        <is>
          <t>美国国际贸易管理局（ITA）</t>
        </is>
      </c>
      <c r="M67" s="2" t="inlineStr">
        <is>
          <t>Policy / Trade Risk</t>
        </is>
      </c>
      <c r="N67" s="2" t="inlineStr">
        <is>
          <t>export_control</t>
        </is>
      </c>
      <c r="O67" s="2" t="inlineStr">
        <is>
          <t>BIS_001; BIS_002; CASE_009; ITA_001</t>
        </is>
      </c>
      <c r="P67" s="2" t="inlineStr">
        <is>
          <t>合规团队要建立美国受限方筛查流程。现有证据库中哪个官方数据源最适合用于企业/客户名称筛查？同时应关注哪些出口管制规则？</t>
        </is>
      </c>
      <c r="Q67" s="2" t="inlineStr">
        <is>
          <t>Evidence ID: ITA_001 Title: Consolidated Screening List API（美国合并筛查清单） Publisher: 美国国际贸易管理局（ITA） Country/Jurisdiction: US / Federal Publication date: 持续更新（每日） Status: CURRENT Topic: 出口管制 Applicability scope: GENERAL Related industries: 通用 Key finding: 合并商务部、国务院、财政部11份清单；支持模糊名称搜索。</t>
        </is>
      </c>
    </row>
    <row r="68">
      <c r="A68" s="2" t="inlineStr">
        <is>
          <t>Q014</t>
        </is>
      </c>
      <c r="B68" s="2" t="n">
        <v>2</v>
      </c>
      <c r="C68" s="2" t="inlineStr">
        <is>
          <t>CASE_009</t>
        </is>
      </c>
      <c r="D68" s="2" t="inlineStr">
        <is>
          <t>BIS 50%穿透规则：发布→暂停→2026-11-10恢复的完整时间线</t>
        </is>
      </c>
      <c r="E68" s="2" t="inlineStr">
        <is>
          <t>出口管制</t>
        </is>
      </c>
      <c r="F68" s="2" t="inlineStr">
        <is>
          <t>S</t>
        </is>
      </c>
      <c r="G68" s="2" t="n">
        <v>2</v>
      </c>
      <c r="H68" s="2" t="n">
        <v>2</v>
      </c>
      <c r="I68" s="3" t="n">
        <v>2</v>
      </c>
      <c r="J68" s="3" t="n">
        <v>2</v>
      </c>
      <c r="K68" s="2" t="inlineStr">
        <is>
          <t>规则时间线，直接回答应关注的规则</t>
        </is>
      </c>
      <c r="L68" s="2" t="inlineStr">
        <is>
          <t>美国商务部工业与安全局（BIS）</t>
        </is>
      </c>
      <c r="M68" s="2" t="inlineStr">
        <is>
          <t>Policy / Trade Risk</t>
        </is>
      </c>
      <c r="N68" s="2" t="inlineStr">
        <is>
          <t>export_control</t>
        </is>
      </c>
      <c r="O68" s="2" t="inlineStr">
        <is>
          <t>BIS_001; BIS_002; CASE_009; ITA_001</t>
        </is>
      </c>
      <c r="P68" s="2" t="inlineStr">
        <is>
          <t>合规团队要建立美国受限方筛查流程。现有证据库中哪个官方数据源最适合用于企业/客户名称筛查？同时应关注哪些出口管制规则？</t>
        </is>
      </c>
      <c r="Q68" s="2" t="inlineStr">
        <is>
          <t>Evidence ID: CASE_009 Title: BIS 50%穿透规则：发布→暂停→2026-11-10恢复的完整时间线 Publisher: 美国商务部工业与安全局（BIS） Country/Jurisdiction: US / Federal Publication date: 2025-09-30 Status: CURRENT Topic: 出口管制 Applicability scope: GENERAL Related industries: 通用 Key finding: 政策事件型案例，由BIS_001和BIS_002组成。可用</t>
        </is>
      </c>
    </row>
    <row r="69">
      <c r="A69" s="2" t="inlineStr">
        <is>
          <t>Q014</t>
        </is>
      </c>
      <c r="B69" s="2" t="n">
        <v>3</v>
      </c>
      <c r="C69" s="2" t="inlineStr">
        <is>
          <t>BIS_002</t>
        </is>
      </c>
      <c r="D69" s="2" t="inlineStr">
        <is>
          <t>One Year Suspension of Expansion of End-User Controls for Affiliates of Certain Listed Entities（关联企业规则暂停一年）</t>
        </is>
      </c>
      <c r="E69" s="2" t="inlineStr">
        <is>
          <t>出口管制</t>
        </is>
      </c>
      <c r="F69" s="2" t="inlineStr">
        <is>
          <t>S</t>
        </is>
      </c>
      <c r="G69" s="2" t="n">
        <v>2</v>
      </c>
      <c r="H69" s="2" t="n">
        <v>2</v>
      </c>
      <c r="I69" s="3" t="n">
        <v>2</v>
      </c>
      <c r="J69" s="3" t="n">
        <v>2</v>
      </c>
      <c r="K69" s="2" t="inlineStr">
        <is>
          <t>暂停令，直接</t>
        </is>
      </c>
      <c r="L69" s="2" t="inlineStr">
        <is>
          <t>美国商务部工业与安全局（BIS）</t>
        </is>
      </c>
      <c r="M69" s="2" t="inlineStr">
        <is>
          <t>Policy / Trade Risk</t>
        </is>
      </c>
      <c r="N69" s="2" t="inlineStr">
        <is>
          <t>export_control</t>
        </is>
      </c>
      <c r="O69" s="2" t="inlineStr">
        <is>
          <t>BIS_001; BIS_002; CASE_009; ITA_001</t>
        </is>
      </c>
      <c r="P69" s="2" t="inlineStr">
        <is>
          <t>合规团队要建立美国受限方筛查流程。现有证据库中哪个官方数据源最适合用于企业/客户名称筛查？同时应关注哪些出口管制规则？</t>
        </is>
      </c>
      <c r="Q69" s="2" t="inlineStr">
        <is>
          <t>Evidence ID: BIS_002 Title: One Year Suspension of Expansion of End-User Controls for Affiliates of Certain Listed Entities（关联企业规则暂停一年） Publisher: 美国商务部工业与安全局（BIS） Country/Jurisdiction: US / Federal Publication date: 2025-11-12 Status: CURRENT Topic: 出口管制 Applicability scope: GEN</t>
        </is>
      </c>
    </row>
    <row r="70">
      <c r="A70" s="2" t="inlineStr">
        <is>
          <t>Q014</t>
        </is>
      </c>
      <c r="B70" s="2" t="n">
        <v>4</v>
      </c>
      <c r="C70" s="2" t="inlineStr">
        <is>
          <t>BIS_001</t>
        </is>
      </c>
      <c r="D70" s="2" t="inlineStr">
        <is>
          <t>Expansion of End-User Controls to Cover Affiliates of Certain Listed Entities（关联企业规则 / 50%穿透规则，临时最终规则）</t>
        </is>
      </c>
      <c r="E70" s="2" t="inlineStr">
        <is>
          <t>出口管制</t>
        </is>
      </c>
      <c r="F70" s="2" t="inlineStr">
        <is>
          <t>S</t>
        </is>
      </c>
      <c r="G70" s="2" t="n">
        <v>2</v>
      </c>
      <c r="H70" s="2" t="n">
        <v>2</v>
      </c>
      <c r="I70" s="3" t="n">
        <v>2</v>
      </c>
      <c r="J70" s="3" t="n">
        <v>2</v>
      </c>
      <c r="K70" s="2" t="inlineStr">
        <is>
          <t>50%穿透规则，直接</t>
        </is>
      </c>
      <c r="L70" s="2" t="inlineStr">
        <is>
          <t>美国商务部工业与安全局（BIS）</t>
        </is>
      </c>
      <c r="M70" s="2" t="inlineStr">
        <is>
          <t>Policy / Trade Risk</t>
        </is>
      </c>
      <c r="N70" s="2" t="inlineStr">
        <is>
          <t>export_control</t>
        </is>
      </c>
      <c r="O70" s="2" t="inlineStr">
        <is>
          <t>BIS_001; BIS_002; CASE_009; ITA_001</t>
        </is>
      </c>
      <c r="P70" s="2" t="inlineStr">
        <is>
          <t>合规团队要建立美国受限方筛查流程。现有证据库中哪个官方数据源最适合用于企业/客户名称筛查？同时应关注哪些出口管制规则？</t>
        </is>
      </c>
      <c r="Q70" s="2" t="inlineStr">
        <is>
          <t>Evidence ID: BIS_001 Title: Expansion of End-User Controls to Cover Affiliates of Certain Listed Entities（关联企业规则 / 50%穿透规则，临时最终规则） Publisher: 美国商务部工业与安全局（BIS） Country/Jurisdiction: US / Federal Publication date: 2025-09-30 Status: CURRENT Topic: 出口管制 Applicability scope: GENERAL</t>
        </is>
      </c>
    </row>
    <row r="71">
      <c r="A71" s="2" t="inlineStr">
        <is>
          <t>Q014</t>
        </is>
      </c>
      <c r="B71" s="2" t="n">
        <v>5</v>
      </c>
      <c r="C71" s="2" t="inlineStr">
        <is>
          <t>NIO_001</t>
        </is>
      </c>
      <c r="D71" s="2" t="inlineStr">
        <is>
          <t>NIO Inc. Form 20-F（fiscal year ended December 31, 2025）蔚来2025财年年报</t>
        </is>
      </c>
      <c r="E71" s="2" t="inlineStr">
        <is>
          <t>出口管制</t>
        </is>
      </c>
      <c r="F71" s="2" t="inlineStr">
        <is>
          <t>S</t>
        </is>
      </c>
      <c r="G71" s="2" t="n">
        <v>1</v>
      </c>
      <c r="H71" s="2" t="n">
        <v>2</v>
      </c>
      <c r="I71" s="3" t="n">
        <v>0</v>
      </c>
      <c r="J71" s="3" t="n">
        <v>2</v>
      </c>
      <c r="K71" s="2" t="inlineStr">
        <is>
          <t>企业年报披露，不是受限方筛查数据源，也不构成出口管制规则 ｜ 人工判定与Auto(1)不同，请复核</t>
        </is>
      </c>
      <c r="L71" s="2" t="inlineStr">
        <is>
          <t>蔚来（NIO Inc.，SEC EDGAR）</t>
        </is>
      </c>
      <c r="M71" s="2" t="inlineStr">
        <is>
          <t>Policy / Trade Risk</t>
        </is>
      </c>
      <c r="N71" s="2" t="inlineStr">
        <is>
          <t>export_control</t>
        </is>
      </c>
      <c r="O71" s="2" t="inlineStr">
        <is>
          <t>BIS_001; BIS_002; CASE_009; ITA_001</t>
        </is>
      </c>
      <c r="P71" s="2" t="inlineStr">
        <is>
          <t>合规团队要建立美国受限方筛查流程。现有证据库中哪个官方数据源最适合用于企业/客户名称筛查？同时应关注哪些出口管制规则？</t>
        </is>
      </c>
      <c r="Q71" s="2" t="inlineStr">
        <is>
          <t>Evidence ID: NIO_001 Title: NIO Inc. Form 20-F（fiscal year ended December 31, 2025）蔚来2025财年年报 Publisher: 蔚来（NIO Inc.，SEC EDGAR） Country/Jurisdiction: CN / National Publication date: 2026-04-10 Status: CURRENT Topic: 出口管制 Applicability scope: GENERAL Related industries: 整车/汽车 Key</t>
        </is>
      </c>
    </row>
    <row r="72">
      <c r="A72" s="2" t="inlineStr">
        <is>
          <t>Q015</t>
        </is>
      </c>
      <c r="B72" s="2" t="n">
        <v>1</v>
      </c>
      <c r="C72" s="2" t="inlineStr">
        <is>
          <t>FR_001</t>
        </is>
      </c>
      <c r="D72" s="2" t="inlineStr">
        <is>
          <t>Federal Register API（美国联邦公报）</t>
        </is>
      </c>
      <c r="E72" s="2" t="inlineStr">
        <is>
          <t>出口管制/关税</t>
        </is>
      </c>
      <c r="F72" s="2" t="inlineStr">
        <is>
          <t>S</t>
        </is>
      </c>
      <c r="G72" s="2" t="n">
        <v>2</v>
      </c>
      <c r="H72" s="2" t="n">
        <v>2</v>
      </c>
      <c r="I72" s="3" t="n">
        <v>2</v>
      </c>
      <c r="J72" s="3" t="n">
        <v>2</v>
      </c>
      <c r="K72" s="2" t="inlineStr">
        <is>
          <t>新规监测入口，直接</t>
        </is>
      </c>
      <c r="L72" s="2" t="inlineStr">
        <is>
          <t>美国国家档案馆联邦公报办公室</t>
        </is>
      </c>
      <c r="M72" s="2" t="inlineStr">
        <is>
          <t>Policy / Trade Risk</t>
        </is>
      </c>
      <c r="N72" s="2" t="inlineStr">
        <is>
          <t>regulation</t>
        </is>
      </c>
      <c r="O72" s="2" t="inlineStr">
        <is>
          <t>FR_001; ITA_001</t>
        </is>
      </c>
      <c r="P72" s="2" t="inlineStr">
        <is>
          <t>我们希望持续监控美国BIS、USTR、CBP等机构发布的新规，以便及时发现关税或出口管制变化；同时要对客户和交易方做受限方筛查。现有证据库中哪些官方入口分别适合作为新规监测与受限方筛查的数据源？</t>
        </is>
      </c>
      <c r="Q72" s="2" t="inlineStr">
        <is>
          <t>Evidence ID: FR_001 Title: Federal Register API（美国联邦公报） Publisher: 美国国家档案馆联邦公报办公室 Country/Jurisdiction: US / Federal Publication date: 持续更新（每日） Status: CURRENT Topic: 出口管制/关税 Applicability scope: GENERAL Related industries: 通用 Key finding: 免费，无需key；按机构（BIS/USTR/CBP）过滤。 Bulk datab</t>
        </is>
      </c>
    </row>
    <row r="73">
      <c r="A73" s="2" t="inlineStr">
        <is>
          <t>Q015</t>
        </is>
      </c>
      <c r="B73" s="2" t="n">
        <v>2</v>
      </c>
      <c r="C73" s="2" t="inlineStr">
        <is>
          <t>ITA_001</t>
        </is>
      </c>
      <c r="D73" s="2" t="inlineStr">
        <is>
          <t>Consolidated Screening List API（美国合并筛查清单）</t>
        </is>
      </c>
      <c r="E73" s="2" t="inlineStr">
        <is>
          <t>出口管制</t>
        </is>
      </c>
      <c r="F73" s="2" t="inlineStr">
        <is>
          <t>S</t>
        </is>
      </c>
      <c r="G73" s="2" t="n">
        <v>2</v>
      </c>
      <c r="H73" s="2" t="n">
        <v>2</v>
      </c>
      <c r="I73" s="3" t="n">
        <v>2</v>
      </c>
      <c r="J73" s="3" t="n">
        <v>2</v>
      </c>
      <c r="K73" s="2" t="inlineStr">
        <is>
          <t>受限方筛查入口，直接</t>
        </is>
      </c>
      <c r="L73" s="2" t="inlineStr">
        <is>
          <t>美国国际贸易管理局（ITA）</t>
        </is>
      </c>
      <c r="M73" s="2" t="inlineStr">
        <is>
          <t>Policy / Trade Risk</t>
        </is>
      </c>
      <c r="N73" s="2" t="inlineStr">
        <is>
          <t>regulation</t>
        </is>
      </c>
      <c r="O73" s="2" t="inlineStr">
        <is>
          <t>FR_001; ITA_001</t>
        </is>
      </c>
      <c r="P73" s="2" t="inlineStr">
        <is>
          <t>我们希望持续监控美国BIS、USTR、CBP等机构发布的新规，以便及时发现关税或出口管制变化；同时要对客户和交易方做受限方筛查。现有证据库中哪些官方入口分别适合作为新规监测与受限方筛查的数据源？</t>
        </is>
      </c>
      <c r="Q73" s="2" t="inlineStr">
        <is>
          <t>Evidence ID: ITA_001 Title: Consolidated Screening List API（美国合并筛查清单） Publisher: 美国国际贸易管理局（ITA） Country/Jurisdiction: US / Federal Publication date: 持续更新（每日） Status: CURRENT Topic: 出口管制 Applicability scope: GENERAL Related industries: 通用 Key finding: 合并商务部、国务院、财政部11份清单；支持模糊名称搜索。</t>
        </is>
      </c>
    </row>
    <row r="74">
      <c r="A74" s="2" t="inlineStr">
        <is>
          <t>Q015</t>
        </is>
      </c>
      <c r="B74" s="2" t="n">
        <v>3</v>
      </c>
      <c r="C74" s="2" t="inlineStr">
        <is>
          <t>CASE_009</t>
        </is>
      </c>
      <c r="D74" s="2" t="inlineStr">
        <is>
          <t>BIS 50%穿透规则：发布→暂停→2026-11-10恢复的完整时间线</t>
        </is>
      </c>
      <c r="E74" s="2" t="inlineStr">
        <is>
          <t>出口管制</t>
        </is>
      </c>
      <c r="F74" s="2" t="inlineStr">
        <is>
          <t>S</t>
        </is>
      </c>
      <c r="G74" s="2" t="n">
        <v>1</v>
      </c>
      <c r="H74" s="2" t="n">
        <v>2</v>
      </c>
      <c r="I74" s="3" t="n">
        <v>1</v>
      </c>
      <c r="J74" s="3" t="n">
        <v>2</v>
      </c>
      <c r="K74" s="2" t="inlineStr">
        <is>
          <t>规则内容，非入口</t>
        </is>
      </c>
      <c r="L74" s="2" t="inlineStr">
        <is>
          <t>美国商务部工业与安全局（BIS）</t>
        </is>
      </c>
      <c r="M74" s="2" t="inlineStr">
        <is>
          <t>Policy / Trade Risk</t>
        </is>
      </c>
      <c r="N74" s="2" t="inlineStr">
        <is>
          <t>regulation</t>
        </is>
      </c>
      <c r="O74" s="2" t="inlineStr">
        <is>
          <t>FR_001; ITA_001</t>
        </is>
      </c>
      <c r="P74" s="2" t="inlineStr">
        <is>
          <t>我们希望持续监控美国BIS、USTR、CBP等机构发布的新规，以便及时发现关税或出口管制变化；同时要对客户和交易方做受限方筛查。现有证据库中哪些官方入口分别适合作为新规监测与受限方筛查的数据源？</t>
        </is>
      </c>
      <c r="Q74" s="2" t="inlineStr">
        <is>
          <t>Evidence ID: CASE_009 Title: BIS 50%穿透规则：发布→暂停→2026-11-10恢复的完整时间线 Publisher: 美国商务部工业与安全局（BIS） Country/Jurisdiction: US / Federal Publication date: 2025-09-30 Status: CURRENT Topic: 出口管制 Applicability scope: GENERAL Related industries: 通用 Key finding: 政策事件型案例，由BIS_001和BIS_002组成。可用</t>
        </is>
      </c>
    </row>
    <row r="75">
      <c r="A75" s="2" t="inlineStr">
        <is>
          <t>Q015</t>
        </is>
      </c>
      <c r="B75" s="2" t="n">
        <v>4</v>
      </c>
      <c r="C75" s="2" t="inlineStr">
        <is>
          <t>BIS_002</t>
        </is>
      </c>
      <c r="D75" s="2" t="inlineStr">
        <is>
          <t>One Year Suspension of Expansion of End-User Controls for Affiliates of Certain Listed Entities（关联企业规则暂停一年）</t>
        </is>
      </c>
      <c r="E75" s="2" t="inlineStr">
        <is>
          <t>出口管制</t>
        </is>
      </c>
      <c r="F75" s="2" t="inlineStr">
        <is>
          <t>S</t>
        </is>
      </c>
      <c r="G75" s="2" t="n">
        <v>1</v>
      </c>
      <c r="H75" s="2" t="n">
        <v>2</v>
      </c>
      <c r="I75" s="3" t="n">
        <v>1</v>
      </c>
      <c r="J75" s="3" t="n">
        <v>2</v>
      </c>
      <c r="K75" s="2" t="inlineStr">
        <is>
          <t>规则内容，非入口</t>
        </is>
      </c>
      <c r="L75" s="2" t="inlineStr">
        <is>
          <t>美国商务部工业与安全局（BIS）</t>
        </is>
      </c>
      <c r="M75" s="2" t="inlineStr">
        <is>
          <t>Policy / Trade Risk</t>
        </is>
      </c>
      <c r="N75" s="2" t="inlineStr">
        <is>
          <t>regulation</t>
        </is>
      </c>
      <c r="O75" s="2" t="inlineStr">
        <is>
          <t>FR_001; ITA_001</t>
        </is>
      </c>
      <c r="P75" s="2" t="inlineStr">
        <is>
          <t>我们希望持续监控美国BIS、USTR、CBP等机构发布的新规，以便及时发现关税或出口管制变化；同时要对客户和交易方做受限方筛查。现有证据库中哪些官方入口分别适合作为新规监测与受限方筛查的数据源？</t>
        </is>
      </c>
      <c r="Q75" s="2" t="inlineStr">
        <is>
          <t>Evidence ID: BIS_002 Title: One Year Suspension of Expansion of End-User Controls for Affiliates of Certain Listed Entities（关联企业规则暂停一年） Publisher: 美国商务部工业与安全局（BIS） Country/Jurisdiction: US / Federal Publication date: 2025-11-12 Status: CURRENT Topic: 出口管制 Applicability scope: GEN</t>
        </is>
      </c>
    </row>
    <row r="76">
      <c r="A76" s="2" t="inlineStr">
        <is>
          <t>Q015</t>
        </is>
      </c>
      <c r="B76" s="2" t="n">
        <v>5</v>
      </c>
      <c r="C76" s="2" t="inlineStr">
        <is>
          <t>BIS_001</t>
        </is>
      </c>
      <c r="D76" s="2" t="inlineStr">
        <is>
          <t>Expansion of End-User Controls to Cover Affiliates of Certain Listed Entities（关联企业规则 / 50%穿透规则，临时最终规则）</t>
        </is>
      </c>
      <c r="E76" s="2" t="inlineStr">
        <is>
          <t>出口管制</t>
        </is>
      </c>
      <c r="F76" s="2" t="inlineStr">
        <is>
          <t>S</t>
        </is>
      </c>
      <c r="G76" s="2" t="n">
        <v>1</v>
      </c>
      <c r="H76" s="2" t="n">
        <v>2</v>
      </c>
      <c r="I76" s="3" t="n">
        <v>1</v>
      </c>
      <c r="J76" s="3" t="n">
        <v>2</v>
      </c>
      <c r="K76" s="2" t="inlineStr">
        <is>
          <t>规则内容，非入口</t>
        </is>
      </c>
      <c r="L76" s="2" t="inlineStr">
        <is>
          <t>美国商务部工业与安全局（BIS）</t>
        </is>
      </c>
      <c r="M76" s="2" t="inlineStr">
        <is>
          <t>Policy / Trade Risk</t>
        </is>
      </c>
      <c r="N76" s="2" t="inlineStr">
        <is>
          <t>regulation</t>
        </is>
      </c>
      <c r="O76" s="2" t="inlineStr">
        <is>
          <t>FR_001; ITA_001</t>
        </is>
      </c>
      <c r="P76" s="2" t="inlineStr">
        <is>
          <t>我们希望持续监控美国BIS、USTR、CBP等机构发布的新规，以便及时发现关税或出口管制变化；同时要对客户和交易方做受限方筛查。现有证据库中哪些官方入口分别适合作为新规监测与受限方筛查的数据源？</t>
        </is>
      </c>
      <c r="Q76" s="2" t="inlineStr">
        <is>
          <t>Evidence ID: BIS_001 Title: Expansion of End-User Controls to Cover Affiliates of Certain Listed Entities（关联企业规则 / 50%穿透规则，临时最终规则） Publisher: 美国商务部工业与安全局（BIS） Country/Jurisdiction: US / Federal Publication date: 2025-09-30 Status: CURRENT Topic: 出口管制 Applicability scope: GENERAL</t>
        </is>
      </c>
    </row>
    <row r="77">
      <c r="A77" s="2" t="inlineStr">
        <is>
          <t>Q016</t>
        </is>
      </c>
      <c r="B77" s="2" t="n">
        <v>1</v>
      </c>
      <c r="C77" s="2" t="inlineStr">
        <is>
          <t>TRD_001</t>
        </is>
      </c>
      <c r="D77" s="2" t="inlineStr">
        <is>
          <t>美国自中国、越南、泰国、马来西亚进口 HS 870380, 850760，2018–2025年度</t>
        </is>
      </c>
      <c r="E77" s="2" t="inlineStr">
        <is>
          <t>贸易流</t>
        </is>
      </c>
      <c r="F77" s="2" t="inlineStr">
        <is>
          <t>A+</t>
        </is>
      </c>
      <c r="G77" s="2" t="n">
        <v>2</v>
      </c>
      <c r="H77" s="2" t="n">
        <v>2</v>
      </c>
      <c r="I77" s="3" t="n">
        <v>2</v>
      </c>
      <c r="J77" s="3" t="n">
        <v>2</v>
      </c>
      <c r="K77" s="2" t="inlineStr">
        <is>
          <t>美国自中/越/泰/马进口EV电池类，直接</t>
        </is>
      </c>
      <c r="L77" s="2" t="inlineStr">
        <is>
          <t>联合国商品贸易统计数据库（UN Comtrade）</t>
        </is>
      </c>
      <c r="M77" s="2" t="inlineStr">
        <is>
          <t>Supply Chain Risk</t>
        </is>
      </c>
      <c r="N77" s="2" t="inlineStr">
        <is>
          <t>supply_chain</t>
        </is>
      </c>
      <c r="O77" s="2" t="inlineStr">
        <is>
          <t>CASE_010; TRD_001; TRD_003</t>
        </is>
      </c>
      <c r="P77" s="2" t="inlineStr">
        <is>
          <t>我们要判断美国EV/电池进口是否正在从中国向越南、泰国、马来西亚转移。现有哪组贸易数据与政策证据最直接支持这个供应链迁移分析？</t>
        </is>
      </c>
      <c r="Q77" s="2" t="inlineStr">
        <is>
          <t>Evidence ID: TRD_001 Title: 美国自中国、越南、泰国、马来西亚进口 HS 870380, 850760，2018–2025年度 Publisher: 联合国商品贸易统计数据库（UN Comtrade） Country/Jurisdiction: US / Federal Publication date: 持续更新 Status: CURRENT Topic: 贸易流 Applicability scope: GENERAL Related industries: ◆电子/光电 Key finding: HS 851762仅为光</t>
        </is>
      </c>
    </row>
    <row r="78">
      <c r="A78" s="2" t="inlineStr">
        <is>
          <t>Q016</t>
        </is>
      </c>
      <c r="B78" s="2" t="n">
        <v>2</v>
      </c>
      <c r="C78" s="2" t="inlineStr">
        <is>
          <t>TRD_003</t>
        </is>
      </c>
      <c r="D78" s="2" t="inlineStr">
        <is>
          <t>中国对越南、泰国、马来西亚出口 HS 8541/8542（中间品），2018–2025年度</t>
        </is>
      </c>
      <c r="E78" s="2" t="inlineStr">
        <is>
          <t>贸易流</t>
        </is>
      </c>
      <c r="F78" s="2" t="inlineStr">
        <is>
          <t>A+</t>
        </is>
      </c>
      <c r="G78" s="2" t="n">
        <v>2</v>
      </c>
      <c r="H78" s="2" t="n">
        <v>2</v>
      </c>
      <c r="I78" s="3" t="n">
        <v>2</v>
      </c>
      <c r="J78" s="3" t="n">
        <v>2</v>
      </c>
      <c r="K78" s="2" t="inlineStr">
        <is>
          <t>中国对越/泰/马中间品出口，直接</t>
        </is>
      </c>
      <c r="L78" s="2" t="inlineStr">
        <is>
          <t>联合国商品贸易统计数据库（UN Comtrade）</t>
        </is>
      </c>
      <c r="M78" s="2" t="inlineStr">
        <is>
          <t>Supply Chain Risk</t>
        </is>
      </c>
      <c r="N78" s="2" t="inlineStr">
        <is>
          <t>supply_chain</t>
        </is>
      </c>
      <c r="O78" s="2" t="inlineStr">
        <is>
          <t>CASE_010; TRD_001; TRD_003</t>
        </is>
      </c>
      <c r="P78" s="2" t="inlineStr">
        <is>
          <t>我们要判断美国EV/电池进口是否正在从中国向越南、泰国、马来西亚转移。现有哪组贸易数据与政策证据最直接支持这个供应链迁移分析？</t>
        </is>
      </c>
      <c r="Q78" s="2" t="inlineStr">
        <is>
          <t>Evidence ID: TRD_003 Title: 中国对越南、泰国、马来西亚出口 HS 8541/8542（中间品），2018–2025年度 Publisher: 联合国商品贸易统计数据库（UN Comtrade） Country/Jurisdiction: CN / National Publication date: 持续更新 Status: CURRENT Topic: 贸易流 Applicability scope: GENERAL Related industries: ◆电子/光电 Key finding: 看东南亚产能是否依赖中国中间</t>
        </is>
      </c>
    </row>
    <row r="79">
      <c r="A79" s="2" t="inlineStr">
        <is>
          <t>Q016</t>
        </is>
      </c>
      <c r="B79" s="2" t="n">
        <v>3</v>
      </c>
      <c r="C79" s="2" t="inlineStr">
        <is>
          <t>CASE_003</t>
        </is>
      </c>
      <c r="D79" s="2" t="inlineStr">
        <is>
          <t>同一反规避调查中被认定“未规避”的企业（Hanwha、Jinko马来西亚、Boviet越南）</t>
        </is>
      </c>
      <c r="E79" s="2" t="inlineStr">
        <is>
          <t>反规避</t>
        </is>
      </c>
      <c r="F79" s="2" t="inlineStr">
        <is>
          <t>S</t>
        </is>
      </c>
      <c r="G79" s="2" t="n">
        <v>0</v>
      </c>
      <c r="H79" s="2" t="n">
        <v>2</v>
      </c>
      <c r="I79" s="3" t="n">
        <v>1</v>
      </c>
      <c r="J79" s="3" t="n">
        <v>2</v>
      </c>
      <c r="K79" s="2" t="inlineStr">
        <is>
          <t>反规避「未规避」判例，涉及区域原产地认定，间接相关 ｜ 人工判定与Auto(0)不同，请复核</t>
        </is>
      </c>
      <c r="L79" s="2" t="inlineStr">
        <is>
          <t>美国商务部（经律所解读）</t>
        </is>
      </c>
      <c r="M79" s="2" t="inlineStr">
        <is>
          <t>Supply Chain Risk</t>
        </is>
      </c>
      <c r="N79" s="2" t="inlineStr">
        <is>
          <t>supply_chain</t>
        </is>
      </c>
      <c r="O79" s="2" t="inlineStr">
        <is>
          <t>CASE_010; TRD_001; TRD_003</t>
        </is>
      </c>
      <c r="P79" s="2" t="inlineStr">
        <is>
          <t>我们要判断美国EV/电池进口是否正在从中国向越南、泰国、马来西亚转移。现有哪组贸易数据与政策证据最直接支持这个供应链迁移分析？</t>
        </is>
      </c>
      <c r="Q79" s="2" t="inlineStr">
        <is>
          <t>Evidence ID: CASE_003 Title: 同一反规避调查中被认定“未规避”的企业（Hanwha、Jinko马来西亚、Boviet越南） Publisher: 美国商务部（经律所解读） Country/Jurisdiction: 马来西亚/越南 Publication date: 2023-08-18 Status: CURRENT Topic: 反规避 Applicability scope: GENERAL Related industries: 光伏 Key finding: 与CASE_002构成对照：同一规则下，供应链结构不同导致</t>
        </is>
      </c>
    </row>
    <row r="80">
      <c r="A80" s="2" t="inlineStr">
        <is>
          <t>Q016</t>
        </is>
      </c>
      <c r="B80" s="2" t="n">
        <v>4</v>
      </c>
      <c r="C80" s="2" t="inlineStr">
        <is>
          <t>TRD_002</t>
        </is>
      </c>
      <c r="D80" s="2" t="inlineStr">
        <is>
          <t>美国自越南、泰国、马来西亚、柬埔寨进口光伏组件HS 854140，2018–2025年度</t>
        </is>
      </c>
      <c r="E80" s="2" t="inlineStr">
        <is>
          <t>贸易流</t>
        </is>
      </c>
      <c r="F80" s="2" t="inlineStr">
        <is>
          <t>A+</t>
        </is>
      </c>
      <c r="G80" s="2" t="n">
        <v>1</v>
      </c>
      <c r="H80" s="2" t="n">
        <v>2</v>
      </c>
      <c r="I80" s="3" t="n">
        <v>1</v>
      </c>
      <c r="J80" s="3" t="n">
        <v>2</v>
      </c>
      <c r="K80" s="2" t="inlineStr">
        <is>
          <t>同区域同模式的贸易转移数据（光伏组件），可作模式类比，非EV/电池口径</t>
        </is>
      </c>
      <c r="L80" s="2" t="inlineStr">
        <is>
          <t>联合国商品贸易统计数据库（UN Comtrade）</t>
        </is>
      </c>
      <c r="M80" s="2" t="inlineStr">
        <is>
          <t>Supply Chain Risk</t>
        </is>
      </c>
      <c r="N80" s="2" t="inlineStr">
        <is>
          <t>supply_chain</t>
        </is>
      </c>
      <c r="O80" s="2" t="inlineStr">
        <is>
          <t>CASE_010; TRD_001; TRD_003</t>
        </is>
      </c>
      <c r="P80" s="2" t="inlineStr">
        <is>
          <t>我们要判断美国EV/电池进口是否正在从中国向越南、泰国、马来西亚转移。现有哪组贸易数据与政策证据最直接支持这个供应链迁移分析？</t>
        </is>
      </c>
      <c r="Q80" s="2" t="inlineStr">
        <is>
          <t>Evidence ID: TRD_002 Title: 美国自越南、泰国、马来西亚、柬埔寨进口光伏组件HS 854140，2018–2025年度 Publisher: 联合国商品贸易统计数据库（UN Comtrade） Country/Jurisdiction: US / Federal Publication date: 持续更新 Status: CURRENT Topic: 贸易流 Applicability scope: GENERAL Related industries: ◆光伏 Key finding: HS 2022版起光伏组件编码调整（旧</t>
        </is>
      </c>
    </row>
    <row r="81">
      <c r="A81" s="2" t="inlineStr">
        <is>
          <t>Q016</t>
        </is>
      </c>
      <c r="B81" s="2" t="n">
        <v>5</v>
      </c>
      <c r="C81" s="2" t="inlineStr">
        <is>
          <t>DHS_001</t>
        </is>
      </c>
      <c r="D81" s="2" t="inlineStr">
        <is>
          <t>Notice Regarding the Uyghur Forced Labor Prevention Act Entity List（UFLPA 实体清单更新公告）</t>
        </is>
      </c>
      <c r="E81" s="2" t="inlineStr">
        <is>
          <t>劳工</t>
        </is>
      </c>
      <c r="F81" s="2" t="inlineStr">
        <is>
          <t>S</t>
        </is>
      </c>
      <c r="G81" s="2" t="n">
        <v>0</v>
      </c>
      <c r="H81" s="2" t="n">
        <v>2</v>
      </c>
      <c r="I81" s="3" t="n">
        <v>0</v>
      </c>
      <c r="J81" s="3" t="n">
        <v>2</v>
      </c>
      <c r="K81" s="2" t="inlineStr">
        <is>
          <t>强迫劳动清单不能支持美国 EV/电池进口来源是否转移的判断</t>
        </is>
      </c>
      <c r="L81" s="2" t="inlineStr">
        <is>
          <t>美国国土安全部（DHS，Federal Register）</t>
        </is>
      </c>
      <c r="M81" s="2" t="inlineStr">
        <is>
          <t>Supply Chain Risk</t>
        </is>
      </c>
      <c r="N81" s="2" t="inlineStr">
        <is>
          <t>supply_chain</t>
        </is>
      </c>
      <c r="O81" s="2" t="inlineStr">
        <is>
          <t>CASE_010; TRD_001; TRD_003</t>
        </is>
      </c>
      <c r="P81" s="2" t="inlineStr">
        <is>
          <t>我们要判断美国EV/电池进口是否正在从中国向越南、泰国、马来西亚转移。现有哪组贸易数据与政策证据最直接支持这个供应链迁移分析？</t>
        </is>
      </c>
      <c r="Q81" s="2" t="inlineStr">
        <is>
          <t>Evidence ID: DHS_001 Title: Notice Regarding the Uyghur Forced Labor Prevention Act Entity List（UFLPA 实体清单更新公告） Publisher: 美国国土安全部（DHS，Federal Register） Country/Jurisdiction: US/CN / Federal Publication date: 2026-08-03 Status: CURRENT Topic: 劳工 Applicability scope: GENERAL Relat</t>
        </is>
      </c>
    </row>
    <row r="82">
      <c r="A82" s="2" t="inlineStr">
        <is>
          <t>Q017</t>
        </is>
      </c>
      <c r="B82" s="2" t="n">
        <v>1</v>
      </c>
      <c r="C82" s="2" t="inlineStr">
        <is>
          <t>TRD_003</t>
        </is>
      </c>
      <c r="D82" s="2" t="inlineStr">
        <is>
          <t>中国对越南、泰国、马来西亚出口 HS 8541/8542（中间品），2018–2025年度</t>
        </is>
      </c>
      <c r="E82" s="2" t="inlineStr">
        <is>
          <t>贸易流</t>
        </is>
      </c>
      <c r="F82" s="2" t="inlineStr">
        <is>
          <t>A+</t>
        </is>
      </c>
      <c r="G82" s="2" t="n">
        <v>2</v>
      </c>
      <c r="H82" s="2" t="n">
        <v>2</v>
      </c>
      <c r="I82" s="3" t="n">
        <v>2</v>
      </c>
      <c r="J82" s="3" t="n">
        <v>2</v>
      </c>
      <c r="K82" s="2" t="inlineStr">
        <is>
          <t>中间品依赖数据，直接</t>
        </is>
      </c>
      <c r="L82" s="2" t="inlineStr">
        <is>
          <t>联合国商品贸易统计数据库（UN Comtrade）</t>
        </is>
      </c>
      <c r="M82" s="2" t="inlineStr">
        <is>
          <t>Supply Chain Risk</t>
        </is>
      </c>
      <c r="N82" s="2" t="inlineStr">
        <is>
          <t>supplier_dependency</t>
        </is>
      </c>
      <c r="O82" s="2" t="inlineStr">
        <is>
          <t>CASE_010; CSIS_001; TRD_003; WH_002</t>
        </is>
      </c>
      <c r="P82" s="2" t="inlineStr">
        <is>
          <t>如果东南亚工厂仍大量依赖来自中国的中间品，企业的‘China+1’布局可能存在哪类供应商依赖和原产地风险？现有数据与政策证据如何组合？</t>
        </is>
      </c>
      <c r="Q82" s="2" t="inlineStr">
        <is>
          <t>Evidence ID: TRD_003 Title: 中国对越南、泰国、马来西亚出口 HS 8541/8542（中间品），2018–2025年度 Publisher: 联合国商品贸易统计数据库（UN Comtrade） Country/Jurisdiction: CN / National Publication date: 持续更新 Status: CURRENT Topic: 贸易流 Applicability scope: GENERAL Related industries: ◆电子/光电 Key finding: 看东南亚产能是否依赖中国中间</t>
        </is>
      </c>
    </row>
    <row r="83">
      <c r="A83" s="2" t="inlineStr">
        <is>
          <t>Q017</t>
        </is>
      </c>
      <c r="B83" s="2" t="n">
        <v>2</v>
      </c>
      <c r="C83" s="2" t="inlineStr">
        <is>
          <t>CASE_010</t>
        </is>
      </c>
      <c r="D83" s="2" t="inlineStr">
        <is>
          <t>白宫点名东南亚为非法转运高风险地区，并推出AI执法工具</t>
        </is>
      </c>
      <c r="E83" s="2" t="inlineStr">
        <is>
          <t>原产地与转运</t>
        </is>
      </c>
      <c r="F83" s="2" t="inlineStr">
        <is>
          <t>S</t>
        </is>
      </c>
      <c r="G83" s="2" t="n">
        <v>2</v>
      </c>
      <c r="H83" s="2" t="n">
        <v>2</v>
      </c>
      <c r="I83" s="3" t="n">
        <v>2</v>
      </c>
      <c r="J83" s="3" t="n">
        <v>2</v>
      </c>
      <c r="K83" s="2" t="inlineStr">
        <is>
          <t>转运/原产地执法立场，直接</t>
        </is>
      </c>
      <c r="L83" s="2" t="inlineStr">
        <is>
          <t>美国白宫（经律所解读）</t>
        </is>
      </c>
      <c r="M83" s="2" t="inlineStr">
        <is>
          <t>Supply Chain Risk</t>
        </is>
      </c>
      <c r="N83" s="2" t="inlineStr">
        <is>
          <t>supplier_dependency</t>
        </is>
      </c>
      <c r="O83" s="2" t="inlineStr">
        <is>
          <t>CASE_010; CSIS_001; TRD_003; WH_002</t>
        </is>
      </c>
      <c r="P83" s="2" t="inlineStr">
        <is>
          <t>如果东南亚工厂仍大量依赖来自中国的中间品，企业的‘China+1’布局可能存在哪类供应商依赖和原产地风险？现有数据与政策证据如何组合？</t>
        </is>
      </c>
      <c r="Q83" s="2" t="inlineStr">
        <is>
          <t>进口商应预期，如果新关税措施后采购模式发生变化，来自高关税国家的货物经由中介管辖区转运，或声称的原产国缺乏有意义生产证据，原产地主张将受到更严格的审查。 这些事实模式可能引发信息请求、货物搁置、审计查询、EAPA指控或罚款调查。 新的检测工具和执法能力 CBP及其他机构越来越多地拥有先进的数据工具，使转运更容易被识别。 报告描述了一个人工智能驱动的执法平台“侦探边境”，集成了进口数据分析、供应链地图、路由历史、所有权和关联分析、贸易流异常、产能比较以及计算机视觉，以识别高风险货物和潜在的虚假原产地索赔。 CBP的执法行动已经加快。 报告指出，自2025年</t>
        </is>
      </c>
    </row>
    <row r="84">
      <c r="A84" s="2" t="inlineStr">
        <is>
          <t>Q017</t>
        </is>
      </c>
      <c r="B84" s="2" t="n">
        <v>3</v>
      </c>
      <c r="C84" s="2" t="inlineStr">
        <is>
          <t>WH_002</t>
        </is>
      </c>
      <c r="D84" s="2" t="inlineStr">
        <is>
          <t>The Great Transshipment Scam: Rise, Scope, and Costs（白宫非法转运报告）</t>
        </is>
      </c>
      <c r="E84" s="2" t="inlineStr">
        <is>
          <t>原产地与转运</t>
        </is>
      </c>
      <c r="F84" s="2" t="inlineStr">
        <is>
          <t>S</t>
        </is>
      </c>
      <c r="G84" s="2" t="n">
        <v>2</v>
      </c>
      <c r="H84" s="2" t="n">
        <v>2</v>
      </c>
      <c r="I84" s="3" t="n">
        <v>2</v>
      </c>
      <c r="J84" s="3" t="n">
        <v>2</v>
      </c>
      <c r="K84" s="2" t="inlineStr">
        <is>
          <t>非法转运报告，原产地风险直接</t>
        </is>
      </c>
      <c r="L84" s="2" t="inlineStr">
        <is>
          <t>美国白宫贸易与制造业政策办公室</t>
        </is>
      </c>
      <c r="M84" s="2" t="inlineStr">
        <is>
          <t>Supply Chain Risk</t>
        </is>
      </c>
      <c r="N84" s="2" t="inlineStr">
        <is>
          <t>supplier_dependency</t>
        </is>
      </c>
      <c r="O84" s="2" t="inlineStr">
        <is>
          <t>CASE_010; CSIS_001; TRD_003; WH_002</t>
        </is>
      </c>
      <c r="P84" s="2" t="inlineStr">
        <is>
          <t>如果东南亚工厂仍大量依赖来自中国的中间品，企业的‘China+1’布局可能存在哪类供应商依赖和原产地风险？现有数据与政策证据如何组合？</t>
        </is>
      </c>
      <c r="Q84" s="2" t="inlineStr">
        <is>
          <t>Evidence ID: WH_002 Title: The Great Transshipment Scam: Rise, Scope, and Costs（白宫非法转运报告） Publisher: 美国白宫贸易与制造业政策办公室 Country/Jurisdiction: US / Federal Publication date: 2026-08-13 Status: CURRENT Topic: 原产地与转运 Applicability scope: GENERAL Related industries: 通用 Key finding: 点名40</t>
        </is>
      </c>
    </row>
    <row r="85">
      <c r="A85" s="2" t="inlineStr">
        <is>
          <t>Q017</t>
        </is>
      </c>
      <c r="B85" s="2" t="n">
        <v>4</v>
      </c>
      <c r="C85" s="2" t="inlineStr">
        <is>
          <t>CSIS_001</t>
        </is>
      </c>
      <c r="D85" s="2" t="inlineStr">
        <is>
          <t>The Visibility Gap: How AI Can Stop Chinese Transshipment Under USMCA</t>
        </is>
      </c>
      <c r="E85" s="2" t="inlineStr">
        <is>
          <t>原产地与转运</t>
        </is>
      </c>
      <c r="F85" s="2" t="inlineStr">
        <is>
          <t>A</t>
        </is>
      </c>
      <c r="G85" s="2" t="n">
        <v>2</v>
      </c>
      <c r="H85" s="2" t="n">
        <v>2</v>
      </c>
      <c r="I85" s="3" t="n">
        <v>2</v>
      </c>
      <c r="J85" s="3" t="n">
        <v>2</v>
      </c>
      <c r="K85" s="2" t="inlineStr">
        <is>
          <t>转运可见性分析，直接支持原产地风险判断</t>
        </is>
      </c>
      <c r="L85" s="2" t="inlineStr">
        <is>
          <t>战略与国际研究中心（CSIS）</t>
        </is>
      </c>
      <c r="M85" s="2" t="inlineStr">
        <is>
          <t>Supply Chain Risk</t>
        </is>
      </c>
      <c r="N85" s="2" t="inlineStr">
        <is>
          <t>supplier_dependency</t>
        </is>
      </c>
      <c r="O85" s="2" t="inlineStr">
        <is>
          <t>CASE_010; CSIS_001; TRD_003; WH_002</t>
        </is>
      </c>
      <c r="P85" s="2" t="inlineStr">
        <is>
          <t>如果东南亚工厂仍大量依赖来自中国的中间品，企业的‘China+1’布局可能存在哪类供应商依赖和原产地风险？现有数据与政策证据如何组合？</t>
        </is>
      </c>
      <c r="Q85" s="2" t="inlineStr">
        <is>
          <t>Evidence ID: CSIS_001 Title: The Visibility Gap: How AI Can Stop Chinese Transshipment Under USMCA Publisher: 战略与国际研究中心（CSIS） Country/Jurisdiction: US / Federal Publication date: 2026-08 Status: CURRENT Topic: 原产地与转运 Applicability scope: GENERAL Related industries: 通用 Key finding</t>
        </is>
      </c>
    </row>
    <row r="86">
      <c r="A86" s="2" t="inlineStr">
        <is>
          <t>Q017</t>
        </is>
      </c>
      <c r="B86" s="2" t="n">
        <v>5</v>
      </c>
      <c r="C86" s="2" t="inlineStr">
        <is>
          <t>WTO_001</t>
        </is>
      </c>
      <c r="D86" s="2" t="inlineStr">
        <is>
          <t>Global Trade Outlook and Statistics（2026年3月版）</t>
        </is>
      </c>
      <c r="E86" s="2" t="inlineStr">
        <is>
          <t>贸易流</t>
        </is>
      </c>
      <c r="F86" s="2" t="inlineStr">
        <is>
          <t>A+</t>
        </is>
      </c>
      <c r="G86" s="2" t="n">
        <v>1</v>
      </c>
      <c r="H86" s="2" t="n">
        <v>2</v>
      </c>
      <c r="I86" s="3" t="n">
        <v>1</v>
      </c>
      <c r="J86" s="3" t="n">
        <v>2</v>
      </c>
      <c r="K86" s="2" t="inlineStr">
        <is>
          <t>全球贸易展望，提供背景但非中间品依赖/原产地风险的直接证据</t>
        </is>
      </c>
      <c r="L86" s="2" t="inlineStr">
        <is>
          <t>世界贸易组织（WTO）</t>
        </is>
      </c>
      <c r="M86" s="2" t="inlineStr">
        <is>
          <t>Supply Chain Risk</t>
        </is>
      </c>
      <c r="N86" s="2" t="inlineStr">
        <is>
          <t>supplier_dependency</t>
        </is>
      </c>
      <c r="O86" s="2" t="inlineStr">
        <is>
          <t>CASE_010; CSIS_001; TRD_003; WH_002</t>
        </is>
      </c>
      <c r="P86" s="2" t="inlineStr">
        <is>
          <t>如果东南亚工厂仍大量依赖来自中国的中间品，企业的‘China+1’布局可能存在哪类供应商依赖和原产地风险？现有数据与政策证据如何组合？</t>
        </is>
      </c>
      <c r="Q86" s="2" t="inlineStr">
        <is>
          <t>35 Appendix Table 1: Leading exporters and importers in world merchandise trade, 2025 (Billion dollars and percentage) Rank Exporters Value Share Annual percentage change Rank Importers Value Share Annual percentage change 1 China 3,772 14. 4 5 1 United States of America 3,507 13</t>
        </is>
      </c>
    </row>
    <row r="87">
      <c r="A87" s="2" t="inlineStr">
        <is>
          <t>Q018</t>
        </is>
      </c>
      <c r="B87" s="2" t="n">
        <v>1</v>
      </c>
      <c r="C87" s="2" t="inlineStr">
        <is>
          <t>CASE_002</t>
        </is>
      </c>
      <c r="D87" s="2" t="inlineStr">
        <is>
          <t>美国对东南亚四国光伏产品反规避认定：视为中国原产并适用对华双反</t>
        </is>
      </c>
      <c r="E87" s="2" t="inlineStr">
        <is>
          <t>反规避</t>
        </is>
      </c>
      <c r="F87" s="2" t="inlineStr">
        <is>
          <t>S</t>
        </is>
      </c>
      <c r="G87" s="2" t="n">
        <v>2</v>
      </c>
      <c r="H87" s="2" t="n">
        <v>2</v>
      </c>
      <c r="I87" s="3" t="n">
        <v>2</v>
      </c>
      <c r="J87" s="3" t="n">
        <v>2</v>
      </c>
      <c r="K87" s="2" t="inlineStr">
        <is>
          <t>反规避「认定规避」，直接支撑风险未隔离</t>
        </is>
      </c>
      <c r="L87" s="2" t="inlineStr">
        <is>
          <t>美国商务部（经律所解读）</t>
        </is>
      </c>
      <c r="M87" s="2" t="inlineStr">
        <is>
          <t>Supply Chain Risk</t>
        </is>
      </c>
      <c r="N87" s="2" t="inlineStr">
        <is>
          <t>supply_chain</t>
        </is>
      </c>
      <c r="O87" s="2" t="inlineStr">
        <is>
          <t>CASE_001; CASE_002; CASE_003; CASE_008; TRD_003</t>
        </is>
      </c>
      <c r="P87" s="2" t="inlineStr">
        <is>
          <t>管理层正在比较中国本土生产与东南亚生产。现有案例是否表明仅把最终生产环节迁往东南亚并不能完全隔离贸易与供应链风险？</t>
        </is>
      </c>
      <c r="Q87" s="2" t="inlineStr">
        <is>
          <t>Evidence ID: CASE_002 Title: 美国对东南亚四国光伏产品反规避认定：视为中国原产并适用对华双反 Publisher: 美国商务部（经律所解读） Country/Jurisdiction: 柬埔寨/马来西亚/泰国/越南 Publication date: 2023-08-18 Status: CURRENT Topic: 反规避 Applicability scope: GENERAL Related industries: 光伏 Key finding: 2022年4月立案，2023年8月终裁。使用中国组件在东南亚完成的电池和组</t>
        </is>
      </c>
    </row>
    <row r="88">
      <c r="A88" s="2" t="inlineStr">
        <is>
          <t>Q018</t>
        </is>
      </c>
      <c r="B88" s="2" t="n">
        <v>2</v>
      </c>
      <c r="C88" s="2" t="inlineStr">
        <is>
          <t>TRD_003</t>
        </is>
      </c>
      <c r="D88" s="2" t="inlineStr">
        <is>
          <t>中国对越南、泰国、马来西亚出口 HS 8541/8542（中间品），2018–2025年度</t>
        </is>
      </c>
      <c r="E88" s="2" t="inlineStr">
        <is>
          <t>贸易流</t>
        </is>
      </c>
      <c r="F88" s="2" t="inlineStr">
        <is>
          <t>A+</t>
        </is>
      </c>
      <c r="G88" s="2" t="n">
        <v>2</v>
      </c>
      <c r="H88" s="2" t="n">
        <v>2</v>
      </c>
      <c r="I88" s="3" t="n">
        <v>2</v>
      </c>
      <c r="J88" s="3" t="n">
        <v>2</v>
      </c>
      <c r="K88" s="2" t="inlineStr">
        <is>
          <t>中国对东南亚中间品出口数据，直接支撑「依赖未隔离」判断</t>
        </is>
      </c>
      <c r="L88" s="2" t="inlineStr">
        <is>
          <t>联合国商品贸易统计数据库（UN Comtrade）</t>
        </is>
      </c>
      <c r="M88" s="2" t="inlineStr">
        <is>
          <t>Supply Chain Risk</t>
        </is>
      </c>
      <c r="N88" s="2" t="inlineStr">
        <is>
          <t>supply_chain</t>
        </is>
      </c>
      <c r="O88" s="2" t="inlineStr">
        <is>
          <t>CASE_001; CASE_002; CASE_003; CASE_008; TRD_003</t>
        </is>
      </c>
      <c r="P88" s="2" t="inlineStr">
        <is>
          <t>管理层正在比较中国本土生产与东南亚生产。现有案例是否表明仅把最终生产环节迁往东南亚并不能完全隔离贸易与供应链风险？</t>
        </is>
      </c>
      <c r="Q88" s="2" t="inlineStr">
        <is>
          <t>Evidence ID: TRD_003 Title: 中国对越南、泰国、马来西亚出口 HS 8541/8542（中间品），2018–2025年度 Publisher: 联合国商品贸易统计数据库（UN Comtrade） Country/Jurisdiction: CN / National Publication date: 持续更新 Status: CURRENT Topic: 贸易流 Applicability scope: GENERAL Related industries: ◆电子/光电 Key finding: 看东南亚产能是否依赖中国中间</t>
        </is>
      </c>
    </row>
    <row r="89">
      <c r="A89" s="2" t="inlineStr">
        <is>
          <t>Q018</t>
        </is>
      </c>
      <c r="B89" s="2" t="n">
        <v>3</v>
      </c>
      <c r="C89" s="2" t="inlineStr">
        <is>
          <t>CASE_008</t>
        </is>
      </c>
      <c r="D89" s="2" t="inlineStr">
        <is>
          <t>光模块厂商选择东南亚建厂以规避与欧美客户合作风险（中际旭创互动平台回复等）</t>
        </is>
      </c>
      <c r="E89" s="2" t="inlineStr">
        <is>
          <t>供应链布局</t>
        </is>
      </c>
      <c r="F89" s="2" t="inlineStr">
        <is>
          <t>B+</t>
        </is>
      </c>
      <c r="G89" s="2" t="n">
        <v>2</v>
      </c>
      <c r="H89" s="2" t="n">
        <v>1</v>
      </c>
      <c r="I89" s="3" t="n">
        <v>2</v>
      </c>
      <c r="J89" s="3" t="n">
        <v>1</v>
      </c>
      <c r="K89" s="2" t="inlineStr">
        <is>
          <t>东南亚建厂规避欧美客户风险，直接案例</t>
        </is>
      </c>
      <c r="L89" s="2" t="inlineStr">
        <is>
          <t>中国基金报</t>
        </is>
      </c>
      <c r="M89" s="2" t="inlineStr">
        <is>
          <t>Supply Chain Risk</t>
        </is>
      </c>
      <c r="N89" s="2" t="inlineStr">
        <is>
          <t>supply_chain</t>
        </is>
      </c>
      <c r="O89" s="2" t="inlineStr">
        <is>
          <t>CASE_001; CASE_002; CASE_003; CASE_008; TRD_003</t>
        </is>
      </c>
      <c r="P89" s="2" t="inlineStr">
        <is>
          <t>管理层正在比较中国本土生产与东南亚生产。现有案例是否表明仅把最终生产环节迁往东南亚并不能完全隔离贸易与供应链风险？</t>
        </is>
      </c>
      <c r="Q89" s="2" t="inlineStr">
        <is>
          <t>Evidence ID: CASE_008 Title: 光模块厂商选择东南亚建厂以规避与欧美客户合作风险（中际旭创互动平台回复等） Publisher: 中国基金报 Country/Jurisdiction: CN / National Publication date: 2024-07-14 Status: CURRENT Topic: 供应链布局 Applicability scope: GENERAL Related industries: 光模块 Key finding: 文中引用中际旭创互动平台回复，可据此到互动易查原始问答，升级为一手证据。</t>
        </is>
      </c>
    </row>
    <row r="90">
      <c r="A90" s="2" t="inlineStr">
        <is>
          <t>Q018</t>
        </is>
      </c>
      <c r="B90" s="2" t="n">
        <v>4</v>
      </c>
      <c r="C90" s="2" t="inlineStr">
        <is>
          <t>DHS_001</t>
        </is>
      </c>
      <c r="D90" s="2" t="inlineStr">
        <is>
          <t>Notice Regarding the Uyghur Forced Labor Prevention Act Entity List（UFLPA 实体清单更新公告）</t>
        </is>
      </c>
      <c r="E90" s="2" t="inlineStr">
        <is>
          <t>劳工</t>
        </is>
      </c>
      <c r="F90" s="2" t="inlineStr">
        <is>
          <t>S</t>
        </is>
      </c>
      <c r="G90" s="2" t="n">
        <v>0</v>
      </c>
      <c r="H90" s="2" t="n">
        <v>2</v>
      </c>
      <c r="I90" s="3" t="n">
        <v>0</v>
      </c>
      <c r="J90" s="3" t="n">
        <v>2</v>
      </c>
      <c r="K90" s="2" t="inlineStr">
        <is>
          <t>不涉及产能布局与供应链依赖，与‘外移最终环节能否隔离风险’无关</t>
        </is>
      </c>
      <c r="L90" s="2" t="inlineStr">
        <is>
          <t>美国国土安全部（DHS，Federal Register）</t>
        </is>
      </c>
      <c r="M90" s="2" t="inlineStr">
        <is>
          <t>Supply Chain Risk</t>
        </is>
      </c>
      <c r="N90" s="2" t="inlineStr">
        <is>
          <t>supply_chain</t>
        </is>
      </c>
      <c r="O90" s="2" t="inlineStr">
        <is>
          <t>CASE_001; CASE_002; CASE_003; CASE_008; TRD_003</t>
        </is>
      </c>
      <c r="P90" s="2" t="inlineStr">
        <is>
          <t>管理层正在比较中国本土生产与东南亚生产。现有案例是否表明仅把最终生产环节迁往东南亚并不能完全隔离贸易与供应链风险？</t>
        </is>
      </c>
      <c r="Q90" s="2" t="inlineStr">
        <is>
          <t>Evidence ID: DHS_001 Title: Notice Regarding the Uyghur Forced Labor Prevention Act Entity List（UFLPA 实体清单更新公告） Publisher: 美国国土安全部（DHS，Federal Register） Country/Jurisdiction: US/CN / Federal Publication date: 2026-08-03 Status: CURRENT Topic: 劳工 Applicability scope: GENERAL Relat</t>
        </is>
      </c>
    </row>
    <row r="91">
      <c r="A91" s="2" t="inlineStr">
        <is>
          <t>Q018</t>
        </is>
      </c>
      <c r="B91" s="2" t="n">
        <v>5</v>
      </c>
      <c r="C91" s="2" t="inlineStr">
        <is>
          <t>TRD_001</t>
        </is>
      </c>
      <c r="D91" s="2" t="inlineStr">
        <is>
          <t>美国自中国、越南、泰国、马来西亚进口 HS 870380, 850760，2018–2025年度</t>
        </is>
      </c>
      <c r="E91" s="2" t="inlineStr">
        <is>
          <t>贸易流</t>
        </is>
      </c>
      <c r="F91" s="2" t="inlineStr">
        <is>
          <t>A+</t>
        </is>
      </c>
      <c r="G91" s="2" t="n">
        <v>1</v>
      </c>
      <c r="H91" s="2" t="n">
        <v>2</v>
      </c>
      <c r="I91" s="3" t="n">
        <v>1</v>
      </c>
      <c r="J91" s="3" t="n">
        <v>2</v>
      </c>
      <c r="K91" s="2" t="inlineStr">
        <is>
          <t>美国进口贸易数据，可作布局结果佐证，非风险隔离证据</t>
        </is>
      </c>
      <c r="L91" s="2" t="inlineStr">
        <is>
          <t>联合国商品贸易统计数据库（UN Comtrade）</t>
        </is>
      </c>
      <c r="M91" s="2" t="inlineStr">
        <is>
          <t>Supply Chain Risk</t>
        </is>
      </c>
      <c r="N91" s="2" t="inlineStr">
        <is>
          <t>supply_chain</t>
        </is>
      </c>
      <c r="O91" s="2" t="inlineStr">
        <is>
          <t>CASE_001; CASE_002; CASE_003; CASE_008; TRD_003</t>
        </is>
      </c>
      <c r="P91" s="2" t="inlineStr">
        <is>
          <t>管理层正在比较中国本土生产与东南亚生产。现有案例是否表明仅把最终生产环节迁往东南亚并不能完全隔离贸易与供应链风险？</t>
        </is>
      </c>
      <c r="Q91" s="2" t="inlineStr">
        <is>
          <t>Evidence ID: TRD_001 Title: 美国自中国、越南、泰国、马来西亚进口 HS 870380, 850760，2018–2025年度 Publisher: 联合国商品贸易统计数据库（UN Comtrade） Country/Jurisdiction: US / Federal Publication date: 持续更新 Status: CURRENT Topic: 贸易流 Applicability scope: GENERAL Related industries: ◆电子/光电 Key finding: HS 851762仅为光</t>
        </is>
      </c>
    </row>
    <row r="92">
      <c r="A92" s="2" t="inlineStr">
        <is>
          <t>Q019</t>
        </is>
      </c>
      <c r="B92" s="2" t="n">
        <v>1</v>
      </c>
      <c r="C92" s="2" t="inlineStr">
        <is>
          <t>CASE_001</t>
        </is>
      </c>
      <c r="D92" s="2" t="inlineStr">
        <is>
          <t>Dawang Metals：客户订单转移印度后回流，企业放弃海外建厂</t>
        </is>
      </c>
      <c r="E92" s="2" t="inlineStr">
        <is>
          <t>供应链布局</t>
        </is>
      </c>
      <c r="F92" s="2" t="inlineStr">
        <is>
          <t>B+</t>
        </is>
      </c>
      <c r="G92" s="2" t="n">
        <v>2</v>
      </c>
      <c r="H92" s="2" t="n">
        <v>1</v>
      </c>
      <c r="I92" s="3" t="n">
        <v>2</v>
      </c>
      <c r="J92" s="3" t="n">
        <v>1</v>
      </c>
      <c r="K92" s="2" t="inlineStr">
        <is>
          <t>订单回流、放弃海外建厂，直接说明布局调整与执行风险</t>
        </is>
      </c>
      <c r="L92" s="2" t="inlineStr">
        <is>
          <t>路透社（Reuters）</t>
        </is>
      </c>
      <c r="M92" s="2" t="inlineStr">
        <is>
          <t>Supply Chain Risk</t>
        </is>
      </c>
      <c r="N92" s="2" t="inlineStr">
        <is>
          <t>supply_chain</t>
        </is>
      </c>
      <c r="O92" s="2" t="inlineStr">
        <is>
          <t>CASE_001; CASE_004; CASE_005; CASE_006; CASE_008; KPMG_001</t>
        </is>
      </c>
      <c r="P92" s="2" t="inlineStr">
        <is>
          <t>我们要做供应链韧性方案，哪些证据可以说明大企业正在调整供应链布局，以及企业在海外扩产时可能面临哪些执行风险？</t>
        </is>
      </c>
      <c r="Q92" s="2" t="inlineStr">
        <is>
          <t>Evidence ID: CASE_001 Title: Dawang Metals：客户订单转移印度后回流，企业放弃海外建厂 Publisher: 路透社（Reuters） Country/Jurisdiction: CN / National Publication date: 2026-09-14 Status: CURRENT Topic: 供应链布局 Applicability scope: GENERAL Related industries: 金属铸造 Key finding: 路透原文《Companies left China to do</t>
        </is>
      </c>
    </row>
    <row r="93">
      <c r="A93" s="2" t="inlineStr">
        <is>
          <t>Q019</t>
        </is>
      </c>
      <c r="B93" s="2" t="n">
        <v>2</v>
      </c>
      <c r="C93" s="2" t="inlineStr">
        <is>
          <t>KPMG_001</t>
        </is>
      </c>
      <c r="D93" s="2" t="inlineStr">
        <is>
          <t>KPMG 2026 US Supply Chain Survey</t>
        </is>
      </c>
      <c r="E93" s="2" t="inlineStr">
        <is>
          <t>供应链布局</t>
        </is>
      </c>
      <c r="F93" s="2" t="inlineStr">
        <is>
          <t>A</t>
        </is>
      </c>
      <c r="G93" s="2" t="n">
        <v>2</v>
      </c>
      <c r="H93" s="2" t="n">
        <v>2</v>
      </c>
      <c r="I93" s="3" t="n">
        <v>2</v>
      </c>
      <c r="J93" s="3" t="n">
        <v>2</v>
      </c>
      <c r="K93" s="2" t="inlineStr">
        <is>
          <t>KPMG供应链调查，直接提供企业执行风险证据</t>
        </is>
      </c>
      <c r="L93" s="2" t="inlineStr">
        <is>
          <t>毕马威（KPMG）</t>
        </is>
      </c>
      <c r="M93" s="2" t="inlineStr">
        <is>
          <t>Supply Chain Risk</t>
        </is>
      </c>
      <c r="N93" s="2" t="inlineStr">
        <is>
          <t>supply_chain</t>
        </is>
      </c>
      <c r="O93" s="2" t="inlineStr">
        <is>
          <t>CASE_001; CASE_004; CASE_005; CASE_006; CASE_008; KPMG_001</t>
        </is>
      </c>
      <c r="P93" s="2" t="inlineStr">
        <is>
          <t>我们要做供应链韧性方案，哪些证据可以说明大企业正在调整供应链布局，以及企业在海外扩产时可能面临哪些执行风险？</t>
        </is>
      </c>
      <c r="Q93" s="2" t="inlineStr">
        <is>
          <t>Evidence ID: KPMG_001 Title: KPMG 2026 US Supply Chain Survey Publisher: 毕马威（KPMG） Country/Jurisdiction: US / Federal Publication date: 2026-05-01 Status: CURRENT Topic: 供应链布局 Applicability scope: GENERAL Related industries: 通用 Key finding: 样本为462位年营收10亿美元以上企业的供应链负责人。样本是美国大企业，不代表</t>
        </is>
      </c>
    </row>
    <row r="94">
      <c r="A94" s="2" t="inlineStr">
        <is>
          <t>Q019</t>
        </is>
      </c>
      <c r="B94" s="2" t="n">
        <v>3</v>
      </c>
      <c r="C94" s="2" t="inlineStr">
        <is>
          <t>SNE_001</t>
        </is>
      </c>
      <c r="D94" s="2" t="inlineStr">
        <is>
          <t>January-August 2026 Global EV Battery Usage Reaches 844.2 GWh, Up 19.7% Year-on-Year（2026年1–8月全球动力电池装车量快报）</t>
        </is>
      </c>
      <c r="E94" s="2" t="inlineStr">
        <is>
          <t>供应链布局</t>
        </is>
      </c>
      <c r="F94" s="2" t="inlineStr">
        <is>
          <t>B</t>
        </is>
      </c>
      <c r="G94" s="2" t="n">
        <v>1</v>
      </c>
      <c r="H94" s="2" t="n">
        <v>1</v>
      </c>
      <c r="I94" s="3" t="n">
        <v>1</v>
      </c>
      <c r="J94" s="3" t="n">
        <v>1</v>
      </c>
      <c r="K94" s="2" t="inlineStr">
        <is>
          <t>全球电池装车量与厂商份额，可佐证头部企业供给格局，但不涉及企业布局调整与扩产执行风险</t>
        </is>
      </c>
      <c r="L94" s="2" t="inlineStr">
        <is>
          <t>SNE Research</t>
        </is>
      </c>
      <c r="M94" s="2" t="inlineStr">
        <is>
          <t>Supply Chain Risk</t>
        </is>
      </c>
      <c r="N94" s="2" t="inlineStr">
        <is>
          <t>supply_chain</t>
        </is>
      </c>
      <c r="O94" s="2" t="inlineStr">
        <is>
          <t>CASE_001; CASE_004; CASE_005; CASE_006; CASE_008; KPMG_001</t>
        </is>
      </c>
      <c r="P94" s="2" t="inlineStr">
        <is>
          <t>我们要做供应链韧性方案，哪些证据可以说明大企业正在调整供应链布局，以及企业在海外扩产时可能面临哪些执行风险？</t>
        </is>
      </c>
      <c r="Q94" s="2" t="inlineStr">
        <is>
          <t>Evidence ID: SNE_001 Title: January-August 2026 Global EV Battery Usage Reaches 844.2 GWh, Up 19.7% Year-on-Year（2026年1–8月全球动力电池装车量快报） Publisher: SNE Research Country/Jurisdiction: 全球 / Global Publication date: 2026-10-02 Status: CURRENT Topic: 供应链布局 Applicability scope: GENERAL</t>
        </is>
      </c>
    </row>
    <row r="95">
      <c r="A95" s="2" t="inlineStr">
        <is>
          <t>Q019</t>
        </is>
      </c>
      <c r="B95" s="2" t="n">
        <v>4</v>
      </c>
      <c r="C95" s="2" t="inlineStr">
        <is>
          <t>CASE_003</t>
        </is>
      </c>
      <c r="D95" s="2" t="inlineStr">
        <is>
          <t>同一反规避调查中被认定“未规避”的企业（Hanwha、Jinko马来西亚、Boviet越南）</t>
        </is>
      </c>
      <c r="E95" s="2" t="inlineStr">
        <is>
          <t>反规避</t>
        </is>
      </c>
      <c r="F95" s="2" t="inlineStr">
        <is>
          <t>S</t>
        </is>
      </c>
      <c r="G95" s="2" t="n">
        <v>0</v>
      </c>
      <c r="H95" s="2" t="n">
        <v>2</v>
      </c>
      <c r="I95" s="3" t="n">
        <v>1</v>
      </c>
      <c r="J95" s="3" t="n">
        <v>2</v>
      </c>
      <c r="K95" s="2" t="inlineStr">
        <is>
          <t>反规避判例，属监管风险证据，非供应链韧性/执行风险主体 ｜ 人工判定与Auto(0)不同，请复核</t>
        </is>
      </c>
      <c r="L95" s="2" t="inlineStr">
        <is>
          <t>美国商务部（经律所解读）</t>
        </is>
      </c>
      <c r="M95" s="2" t="inlineStr">
        <is>
          <t>Supply Chain Risk</t>
        </is>
      </c>
      <c r="N95" s="2" t="inlineStr">
        <is>
          <t>supply_chain</t>
        </is>
      </c>
      <c r="O95" s="2" t="inlineStr">
        <is>
          <t>CASE_001; CASE_004; CASE_005; CASE_006; CASE_008; KPMG_001</t>
        </is>
      </c>
      <c r="P95" s="2" t="inlineStr">
        <is>
          <t>我们要做供应链韧性方案，哪些证据可以说明大企业正在调整供应链布局，以及企业在海外扩产时可能面临哪些执行风险？</t>
        </is>
      </c>
      <c r="Q95" s="2" t="inlineStr">
        <is>
          <t>Evidence ID: CASE_003 Title: 同一反规避调查中被认定“未规避”的企业（Hanwha、Jinko马来西亚、Boviet越南） Publisher: 美国商务部（经律所解读） Country/Jurisdiction: 马来西亚/越南 Publication date: 2023-08-18 Status: CURRENT Topic: 反规避 Applicability scope: GENERAL Related industries: 光伏 Key finding: 与CASE_002构成对照：同一规则下，供应链结构不同导致</t>
        </is>
      </c>
    </row>
    <row r="96">
      <c r="A96" s="2" t="inlineStr">
        <is>
          <t>Q019</t>
        </is>
      </c>
      <c r="B96" s="2" t="n">
        <v>5</v>
      </c>
      <c r="C96" s="2" t="inlineStr">
        <is>
          <t>CASE_008</t>
        </is>
      </c>
      <c r="D96" s="2" t="inlineStr">
        <is>
          <t>光模块厂商选择东南亚建厂以规避与欧美客户合作风险（中际旭创互动平台回复等）</t>
        </is>
      </c>
      <c r="E96" s="2" t="inlineStr">
        <is>
          <t>供应链布局</t>
        </is>
      </c>
      <c r="F96" s="2" t="inlineStr">
        <is>
          <t>B+</t>
        </is>
      </c>
      <c r="G96" s="2" t="n">
        <v>2</v>
      </c>
      <c r="H96" s="2" t="n">
        <v>1</v>
      </c>
      <c r="I96" s="3" t="n">
        <v>2</v>
      </c>
      <c r="J96" s="3" t="n">
        <v>1</v>
      </c>
      <c r="K96" s="2" t="inlineStr">
        <is>
          <t>东南亚建厂规避客户风险，直接说明布局调整</t>
        </is>
      </c>
      <c r="L96" s="2" t="inlineStr">
        <is>
          <t>中国基金报</t>
        </is>
      </c>
      <c r="M96" s="2" t="inlineStr">
        <is>
          <t>Supply Chain Risk</t>
        </is>
      </c>
      <c r="N96" s="2" t="inlineStr">
        <is>
          <t>supply_chain</t>
        </is>
      </c>
      <c r="O96" s="2" t="inlineStr">
        <is>
          <t>CASE_001; CASE_004; CASE_005; CASE_006; CASE_008; KPMG_001</t>
        </is>
      </c>
      <c r="P96" s="2" t="inlineStr">
        <is>
          <t>我们要做供应链韧性方案，哪些证据可以说明大企业正在调整供应链布局，以及企业在海外扩产时可能面临哪些执行风险？</t>
        </is>
      </c>
      <c r="Q96" s="2" t="inlineStr">
        <is>
          <t>Evidence ID: CASE_008 Title: 光模块厂商选择东南亚建厂以规避与欧美客户合作风险（中际旭创互动平台回复等） Publisher: 中国基金报 Country/Jurisdiction: CN / National Publication date: 2024-07-14 Status: CURRENT Topic: 供应链布局 Applicability scope: GENERAL Related industries: 光模块 Key finding: 文中引用中际旭创互动平台回复，可据此到互动易查原始问答，升级为一手证据。</t>
        </is>
      </c>
    </row>
    <row r="97">
      <c r="A97" s="2" t="inlineStr">
        <is>
          <t>Q020</t>
        </is>
      </c>
      <c r="B97" s="2" t="n">
        <v>1</v>
      </c>
      <c r="C97" s="2" t="inlineStr">
        <is>
          <t>TRD_003</t>
        </is>
      </c>
      <c r="D97" s="2" t="inlineStr">
        <is>
          <t>中国对越南、泰国、马来西亚出口 HS 8541/8542（中间品），2018–2025年度</t>
        </is>
      </c>
      <c r="E97" s="2" t="inlineStr">
        <is>
          <t>贸易流</t>
        </is>
      </c>
      <c r="F97" s="2" t="inlineStr">
        <is>
          <t>A+</t>
        </is>
      </c>
      <c r="G97" s="2" t="n">
        <v>2</v>
      </c>
      <c r="H97" s="2" t="n">
        <v>2</v>
      </c>
      <c r="I97" s="3" t="n">
        <v>2</v>
      </c>
      <c r="J97" s="3" t="n">
        <v>2</v>
      </c>
      <c r="K97" s="2" t="inlineStr">
        <is>
          <t>中间品依赖数据，直接</t>
        </is>
      </c>
      <c r="L97" s="2" t="inlineStr">
        <is>
          <t>联合国商品贸易统计数据库（UN Comtrade）</t>
        </is>
      </c>
      <c r="M97" s="2" t="inlineStr">
        <is>
          <t>Supply Chain Risk</t>
        </is>
      </c>
      <c r="N97" s="2" t="inlineStr">
        <is>
          <t>supplier_dependency</t>
        </is>
      </c>
      <c r="O97" s="2" t="inlineStr">
        <is>
          <t>CASE_010; CSIS_001; TRD_001; TRD_003; WH_002</t>
        </is>
      </c>
      <c r="P97" s="2" t="inlineStr">
        <is>
          <t>如果公司计划把关键产能集中在泰国或马来西亚，现有证据如何支持对地理集中、非法转运审查和中间品依赖进行联合评估？</t>
        </is>
      </c>
      <c r="Q97" s="2" t="inlineStr">
        <is>
          <t>Evidence ID: TRD_003 Title: 中国对越南、泰国、马来西亚出口 HS 8541/8542（中间品），2018–2025年度 Publisher: 联合国商品贸易统计数据库（UN Comtrade） Country/Jurisdiction: CN / National Publication date: 持续更新 Status: CURRENT Topic: 贸易流 Applicability scope: GENERAL Related industries: ◆电子/光电 Key finding: 看东南亚产能是否依赖中国中间</t>
        </is>
      </c>
    </row>
    <row r="98">
      <c r="A98" s="2" t="inlineStr">
        <is>
          <t>Q020</t>
        </is>
      </c>
      <c r="B98" s="2" t="n">
        <v>2</v>
      </c>
      <c r="C98" s="2" t="inlineStr">
        <is>
          <t>WH_002</t>
        </is>
      </c>
      <c r="D98" s="2" t="inlineStr">
        <is>
          <t>The Great Transshipment Scam: Rise, Scope, and Costs（白宫非法转运报告）</t>
        </is>
      </c>
      <c r="E98" s="2" t="inlineStr">
        <is>
          <t>原产地与转运</t>
        </is>
      </c>
      <c r="F98" s="2" t="inlineStr">
        <is>
          <t>S</t>
        </is>
      </c>
      <c r="G98" s="2" t="n">
        <v>2</v>
      </c>
      <c r="H98" s="2" t="n">
        <v>2</v>
      </c>
      <c r="I98" s="3" t="n">
        <v>2</v>
      </c>
      <c r="J98" s="3" t="n">
        <v>2</v>
      </c>
      <c r="K98" s="2" t="inlineStr">
        <is>
          <t>转运审查，直接</t>
        </is>
      </c>
      <c r="L98" s="2" t="inlineStr">
        <is>
          <t>美国白宫贸易与制造业政策办公室</t>
        </is>
      </c>
      <c r="M98" s="2" t="inlineStr">
        <is>
          <t>Supply Chain Risk</t>
        </is>
      </c>
      <c r="N98" s="2" t="inlineStr">
        <is>
          <t>supplier_dependency</t>
        </is>
      </c>
      <c r="O98" s="2" t="inlineStr">
        <is>
          <t>CASE_010; CSIS_001; TRD_001; TRD_003; WH_002</t>
        </is>
      </c>
      <c r="P98" s="2" t="inlineStr">
        <is>
          <t>如果公司计划把关键产能集中在泰国或马来西亚，现有证据如何支持对地理集中、非法转运审查和中间品依赖进行联合评估？</t>
        </is>
      </c>
      <c r="Q98" s="2" t="inlineStr">
        <is>
          <t>Evidence ID: WH_002 Title: The Great Transshipment Scam: Rise, Scope, and Costs（白宫非法转运报告） Publisher: 美国白宫贸易与制造业政策办公室 Country/Jurisdiction: US / Federal Publication date: 2026-08-13 Status: CURRENT Topic: 原产地与转运 Applicability scope: GENERAL Related industries: 通用 Key finding: 点名40</t>
        </is>
      </c>
    </row>
    <row r="99">
      <c r="A99" s="2" t="inlineStr">
        <is>
          <t>Q020</t>
        </is>
      </c>
      <c r="B99" s="2" t="n">
        <v>3</v>
      </c>
      <c r="C99" s="2" t="inlineStr">
        <is>
          <t>CSIS_001</t>
        </is>
      </c>
      <c r="D99" s="2" t="inlineStr">
        <is>
          <t>The Visibility Gap: How AI Can Stop Chinese Transshipment Under USMCA</t>
        </is>
      </c>
      <c r="E99" s="2" t="inlineStr">
        <is>
          <t>原产地与转运</t>
        </is>
      </c>
      <c r="F99" s="2" t="inlineStr">
        <is>
          <t>A</t>
        </is>
      </c>
      <c r="G99" s="2" t="n">
        <v>2</v>
      </c>
      <c r="H99" s="2" t="n">
        <v>2</v>
      </c>
      <c r="I99" s="3" t="n">
        <v>2</v>
      </c>
      <c r="J99" s="3" t="n">
        <v>2</v>
      </c>
      <c r="K99" s="2" t="inlineStr">
        <is>
          <t>本题 expected 证据：USMCA 下中国转运可视化与执法分析</t>
        </is>
      </c>
      <c r="L99" s="2" t="inlineStr">
        <is>
          <t>战略与国际研究中心（CSIS）</t>
        </is>
      </c>
      <c r="M99" s="2" t="inlineStr">
        <is>
          <t>Supply Chain Risk</t>
        </is>
      </c>
      <c r="N99" s="2" t="inlineStr">
        <is>
          <t>supplier_dependency</t>
        </is>
      </c>
      <c r="O99" s="2" t="inlineStr">
        <is>
          <t>CASE_010; CSIS_001; TRD_001; TRD_003; WH_002</t>
        </is>
      </c>
      <c r="P99" s="2" t="inlineStr">
        <is>
          <t>如果公司计划把关键产能集中在泰国或马来西亚，现有证据如何支持对地理集中、非法转运审查和中间品依赖进行联合评估？</t>
        </is>
      </c>
      <c r="Q99" s="2" t="inlineStr">
        <is>
          <t>Evidence ID: CSIS_001 Title: The Visibility Gap: How AI Can Stop Chinese Transshipment Under USMCA Publisher: 战略与国际研究中心（CSIS） Country/Jurisdiction: US / Federal Publication date: 2026-08 Status: CURRENT Topic: 原产地与转运 Applicability scope: GENERAL Related industries: 通用 Key finding</t>
        </is>
      </c>
    </row>
    <row r="100">
      <c r="A100" s="2" t="inlineStr">
        <is>
          <t>Q020</t>
        </is>
      </c>
      <c r="B100" s="2" t="n">
        <v>4</v>
      </c>
      <c r="C100" s="2" t="inlineStr">
        <is>
          <t>TRD_001</t>
        </is>
      </c>
      <c r="D100" s="2" t="inlineStr">
        <is>
          <t>美国自中国、越南、泰国、马来西亚进口 HS 870380, 850760，2018–2025年度</t>
        </is>
      </c>
      <c r="E100" s="2" t="inlineStr">
        <is>
          <t>贸易流</t>
        </is>
      </c>
      <c r="F100" s="2" t="inlineStr">
        <is>
          <t>A+</t>
        </is>
      </c>
      <c r="G100" s="2" t="n">
        <v>2</v>
      </c>
      <c r="H100" s="2" t="n">
        <v>2</v>
      </c>
      <c r="I100" s="3" t="n">
        <v>2</v>
      </c>
      <c r="J100" s="3" t="n">
        <v>2</v>
      </c>
      <c r="K100" s="2" t="inlineStr">
        <is>
          <t>本题 expected 证据：美国自中/越/泰/马进口 EV 与锂电池数据，直接支撑地理集中度评估</t>
        </is>
      </c>
      <c r="L100" s="2" t="inlineStr">
        <is>
          <t>联合国商品贸易统计数据库（UN Comtrade）</t>
        </is>
      </c>
      <c r="M100" s="2" t="inlineStr">
        <is>
          <t>Supply Chain Risk</t>
        </is>
      </c>
      <c r="N100" s="2" t="inlineStr">
        <is>
          <t>supplier_dependency</t>
        </is>
      </c>
      <c r="O100" s="2" t="inlineStr">
        <is>
          <t>CASE_010; CSIS_001; TRD_001; TRD_003; WH_002</t>
        </is>
      </c>
      <c r="P100" s="2" t="inlineStr">
        <is>
          <t>如果公司计划把关键产能集中在泰国或马来西亚，现有证据如何支持对地理集中、非法转运审查和中间品依赖进行联合评估？</t>
        </is>
      </c>
      <c r="Q100" s="2" t="inlineStr">
        <is>
          <t>Evidence ID: TRD_001 Title: 美国自中国、越南、泰国、马来西亚进口 HS 870380, 850760，2018–2025年度 Publisher: 联合国商品贸易统计数据库（UN Comtrade） Country/Jurisdiction: US / Federal Publication date: 持续更新 Status: CURRENT Topic: 贸易流 Applicability scope: GENERAL Related industries: ◆电子/光电 Key finding: HS 851762仅为光</t>
        </is>
      </c>
    </row>
    <row r="101">
      <c r="A101" s="2" t="inlineStr">
        <is>
          <t>Q020</t>
        </is>
      </c>
      <c r="B101" s="2" t="n">
        <v>5</v>
      </c>
      <c r="C101" s="2" t="inlineStr">
        <is>
          <t>WTO_001</t>
        </is>
      </c>
      <c r="D101" s="2" t="inlineStr">
        <is>
          <t>Global Trade Outlook and Statistics（2026年3月版）</t>
        </is>
      </c>
      <c r="E101" s="2" t="inlineStr">
        <is>
          <t>贸易流</t>
        </is>
      </c>
      <c r="F101" s="2" t="inlineStr">
        <is>
          <t>A+</t>
        </is>
      </c>
      <c r="G101" s="2" t="n">
        <v>1</v>
      </c>
      <c r="H101" s="2" t="n">
        <v>2</v>
      </c>
      <c r="I101" s="3" t="n">
        <v>1</v>
      </c>
      <c r="J101" s="3" t="n">
        <v>2</v>
      </c>
      <c r="K101" s="2" t="inlineStr">
        <is>
          <t>全球贸易展望，提供宏观背景，非集中度/转运审查直接证据</t>
        </is>
      </c>
      <c r="L101" s="2" t="inlineStr">
        <is>
          <t>世界贸易组织（WTO）</t>
        </is>
      </c>
      <c r="M101" s="2" t="inlineStr">
        <is>
          <t>Supply Chain Risk</t>
        </is>
      </c>
      <c r="N101" s="2" t="inlineStr">
        <is>
          <t>supplier_dependency</t>
        </is>
      </c>
      <c r="O101" s="2" t="inlineStr">
        <is>
          <t>CASE_010; CSIS_001; TRD_001; TRD_003; WH_002</t>
        </is>
      </c>
      <c r="P101" s="2" t="inlineStr">
        <is>
          <t>如果公司计划把关键产能集中在泰国或马来西亚，现有证据如何支持对地理集中、非法转运审查和中间品依赖进行联合评估？</t>
        </is>
      </c>
      <c r="Q101" s="2" t="inlineStr">
        <is>
          <t>The total decline in the value of exports to the United States in 2025 was about US$ 105 billion, while the increase to other destinations was almost three times as high at US$ 301 billion. These statistics suggest that more than just trade diversion is at play. Excess capacity i</t>
        </is>
      </c>
    </row>
    <row r="102">
      <c r="A102" s="2" t="inlineStr">
        <is>
          <t>Q021</t>
        </is>
      </c>
      <c r="B102" s="2" t="n">
        <v>1</v>
      </c>
      <c r="C102" s="2" t="inlineStr">
        <is>
          <t>CASE_010</t>
        </is>
      </c>
      <c r="D102" s="2" t="inlineStr">
        <is>
          <t>白宫点名东南亚为非法转运高风险地区，并推出AI执法工具</t>
        </is>
      </c>
      <c r="E102" s="2" t="inlineStr">
        <is>
          <t>原产地与转运</t>
        </is>
      </c>
      <c r="F102" s="2" t="inlineStr">
        <is>
          <t>S</t>
        </is>
      </c>
      <c r="G102" s="2" t="n">
        <v>2</v>
      </c>
      <c r="H102" s="2" t="n">
        <v>2</v>
      </c>
      <c r="I102" s="3" t="n">
        <v>2</v>
      </c>
      <c r="J102" s="3" t="n">
        <v>2</v>
      </c>
      <c r="K102" s="2" t="inlineStr">
        <is>
          <t>点名东南亚转运高风险，直接</t>
        </is>
      </c>
      <c r="L102" s="2" t="inlineStr">
        <is>
          <t>美国白宫（经律所解读）</t>
        </is>
      </c>
      <c r="M102" s="2" t="inlineStr">
        <is>
          <t>Market Access</t>
        </is>
      </c>
      <c r="N102" s="2" t="inlineStr">
        <is>
          <t>market_access</t>
        </is>
      </c>
      <c r="O102" s="2" t="inlineStr">
        <is>
          <t>CASE_002; CASE_010; CSIS_001; WH_001; WH_002</t>
        </is>
      </c>
      <c r="P102" s="2" t="inlineStr">
        <is>
          <t>我们在越南生产后出口美国，能否仅凭申报的越南原产地降低美国市场准入风险？现有证据对真实组件来源和原产地举证提出了什么警示？</t>
        </is>
      </c>
      <c r="Q102" s="2" t="inlineStr">
        <is>
          <t>审查应重点关注申报原产地是否得到适用法律标准和客观生产证据的支持。 公司应维护制造记录、物料清单、生产流程描述、供应商认证、采购订单、发票、路由文件以及支持重大转型决定的书面法律分析。 当基础生产事实不支持申报的原产地时，仅依赖供应商认证可能不足以应对。 进口商还应评估事先披露、裁定请求、修订原产地分析或加强供应商尽职调查是否适合高风险供应链。 主要要点 报告中的五项独立估计显示，每年非法转运资金流动在400亿至3030亿美元之间，关税收入损失每年达数百亿美元，收入回收潜力足以确保持续的执法关注。 行政命令14411的进口登记、保证和所有权披露要求将在入</t>
        </is>
      </c>
    </row>
    <row r="103">
      <c r="A103" s="2" t="inlineStr">
        <is>
          <t>Q021</t>
        </is>
      </c>
      <c r="B103" s="2" t="n">
        <v>2</v>
      </c>
      <c r="C103" s="2" t="inlineStr">
        <is>
          <t>CSIS_001</t>
        </is>
      </c>
      <c r="D103" s="2" t="inlineStr">
        <is>
          <t>The Visibility Gap: How AI Can Stop Chinese Transshipment Under USMCA</t>
        </is>
      </c>
      <c r="E103" s="2" t="inlineStr">
        <is>
          <t>原产地与转运</t>
        </is>
      </c>
      <c r="F103" s="2" t="inlineStr">
        <is>
          <t>A</t>
        </is>
      </c>
      <c r="G103" s="2" t="n">
        <v>2</v>
      </c>
      <c r="H103" s="2" t="n">
        <v>2</v>
      </c>
      <c r="I103" s="3" t="n">
        <v>2</v>
      </c>
      <c r="J103" s="3" t="n">
        <v>2</v>
      </c>
      <c r="K103" s="2" t="inlineStr">
        <is>
          <t>AI识别虚假原产地，直接</t>
        </is>
      </c>
      <c r="L103" s="2" t="inlineStr">
        <is>
          <t>战略与国际研究中心（CSIS）</t>
        </is>
      </c>
      <c r="M103" s="2" t="inlineStr">
        <is>
          <t>Market Access</t>
        </is>
      </c>
      <c r="N103" s="2" t="inlineStr">
        <is>
          <t>market_access</t>
        </is>
      </c>
      <c r="O103" s="2" t="inlineStr">
        <is>
          <t>CASE_002; CASE_010; CSIS_001; WH_001; WH_002</t>
        </is>
      </c>
      <c r="P103" s="2" t="inlineStr">
        <is>
          <t>我们在越南生产后出口美国，能否仅凭申报的越南原产地降低美国市场准入风险？现有证据对真实组件来源和原产地举证提出了什么警示？</t>
        </is>
      </c>
      <c r="Q103" s="2" t="inlineStr">
        <is>
          <t>Evidence ID: CSIS_001 Title: The Visibility Gap: How AI Can Stop Chinese Transshipment Under USMCA Publisher: 战略与国际研究中心（CSIS） Country/Jurisdiction: US / Federal Publication date: 2026-08 Status: CURRENT Topic: 原产地与转运 Applicability scope: GENERAL Related industries: 通用 Key finding</t>
        </is>
      </c>
    </row>
    <row r="104">
      <c r="A104" s="2" t="inlineStr">
        <is>
          <t>Q021</t>
        </is>
      </c>
      <c r="B104" s="2" t="n">
        <v>3</v>
      </c>
      <c r="C104" s="2" t="inlineStr">
        <is>
          <t>WH_002</t>
        </is>
      </c>
      <c r="D104" s="2" t="inlineStr">
        <is>
          <t>The Great Transshipment Scam: Rise, Scope, and Costs（白宫非法转运报告）</t>
        </is>
      </c>
      <c r="E104" s="2" t="inlineStr">
        <is>
          <t>原产地与转运</t>
        </is>
      </c>
      <c r="F104" s="2" t="inlineStr">
        <is>
          <t>S</t>
        </is>
      </c>
      <c r="G104" s="2" t="n">
        <v>2</v>
      </c>
      <c r="H104" s="2" t="n">
        <v>2</v>
      </c>
      <c r="I104" s="3" t="n">
        <v>2</v>
      </c>
      <c r="J104" s="3" t="n">
        <v>2</v>
      </c>
      <c r="K104" s="2" t="inlineStr">
        <is>
          <t>白宫转运报告，直接</t>
        </is>
      </c>
      <c r="L104" s="2" t="inlineStr">
        <is>
          <t>美国白宫贸易与制造业政策办公室</t>
        </is>
      </c>
      <c r="M104" s="2" t="inlineStr">
        <is>
          <t>Market Access</t>
        </is>
      </c>
      <c r="N104" s="2" t="inlineStr">
        <is>
          <t>market_access</t>
        </is>
      </c>
      <c r="O104" s="2" t="inlineStr">
        <is>
          <t>CASE_002; CASE_010; CSIS_001; WH_001; WH_002</t>
        </is>
      </c>
      <c r="P104" s="2" t="inlineStr">
        <is>
          <t>我们在越南生产后出口美国，能否仅凭申报的越南原产地降低美国市场准入风险？现有证据对真实组件来源和原产地举证提出了什么警示？</t>
        </is>
      </c>
      <c r="Q104" s="2" t="inlineStr">
        <is>
          <t>Evidence ID: WH_002 Title: The Great Transshipment Scam: Rise, Scope, and Costs（白宫非法转运报告） Publisher: 美国白宫贸易与制造业政策办公室 Country/Jurisdiction: US / Federal Publication date: 2026-08-13 Status: CURRENT Topic: 原产地与转运 Applicability scope: GENERAL Related industries: 通用 Key finding: 点名40</t>
        </is>
      </c>
    </row>
    <row r="105">
      <c r="A105" s="2" t="inlineStr">
        <is>
          <t>Q021</t>
        </is>
      </c>
      <c r="B105" s="2" t="n">
        <v>4</v>
      </c>
      <c r="C105" s="2" t="inlineStr">
        <is>
          <t>USMCA_001</t>
        </is>
      </c>
      <c r="D105" s="2" t="inlineStr">
        <is>
          <t>USMCA Chapter 4: Rules of Origin（美墨加协定第4章原产地规则）</t>
        </is>
      </c>
      <c r="E105" s="2" t="inlineStr">
        <is>
          <t>原产地与转运</t>
        </is>
      </c>
      <c r="F105" s="2" t="inlineStr">
        <is>
          <t>S</t>
        </is>
      </c>
      <c r="G105" s="2" t="n">
        <v>1</v>
      </c>
      <c r="H105" s="2" t="n">
        <v>2</v>
      </c>
      <c r="I105" s="3" t="n">
        <v>1</v>
      </c>
      <c r="J105" s="3" t="n">
        <v>2</v>
      </c>
      <c r="K105" s="2" t="inlineStr">
        <is>
          <t>USMCA 原产地成分门槛可作为‘原产地需实质举证’的同类规则参照，但本题聚焦美方对东南亚转运与原产地的执法</t>
        </is>
      </c>
      <c r="L105" s="2" t="inlineStr">
        <is>
          <t>美国贸易代表办公室（USTR）</t>
        </is>
      </c>
      <c r="M105" s="2" t="inlineStr">
        <is>
          <t>Market Access</t>
        </is>
      </c>
      <c r="N105" s="2" t="inlineStr">
        <is>
          <t>market_access</t>
        </is>
      </c>
      <c r="O105" s="2" t="inlineStr">
        <is>
          <t>CASE_002; CASE_010; CSIS_001; WH_001; WH_002</t>
        </is>
      </c>
      <c r="P105" s="2" t="inlineStr">
        <is>
          <t>我们在越南生产后出口美国，能否仅凭申报的越南原产地降低美国市场准入风险？现有证据对真实组件来源和原产地举证提出了什么警示？</t>
        </is>
      </c>
      <c r="Q105" s="2" t="inlineStr">
        <is>
          <t>Evidence ID: USMCA_001 Title: USMCA Chapter 4: Rules of Origin（美墨加协定第4章原产地规则） Publisher: 美国贸易代表办公室（USTR） Country/Jurisdiction: US/MX/CA / Free trade area (USMCA) Publication date: 2020-07-01 Status: CURRENT Topic: 原产地与转运 Applicability scope: GENERAL Related industries: 通用 Key fin</t>
        </is>
      </c>
    </row>
    <row r="106">
      <c r="A106" s="2" t="inlineStr">
        <is>
          <t>Q021</t>
        </is>
      </c>
      <c r="B106" s="2" t="n">
        <v>5</v>
      </c>
      <c r="C106" s="2" t="inlineStr">
        <is>
          <t>WH_001</t>
        </is>
      </c>
      <c r="D106" s="2" t="inlineStr">
        <is>
          <t>Executive Order 14411: Strengthening Customs Enforcement（加强海关执法行政令）</t>
        </is>
      </c>
      <c r="E106" s="2" t="inlineStr">
        <is>
          <t>原产地与转运</t>
        </is>
      </c>
      <c r="F106" s="2" t="inlineStr">
        <is>
          <t>S</t>
        </is>
      </c>
      <c r="G106" s="2" t="n">
        <v>2</v>
      </c>
      <c r="H106" s="2" t="n">
        <v>2</v>
      </c>
      <c r="I106" s="3" t="n">
        <v>2</v>
      </c>
      <c r="J106" s="3" t="n">
        <v>2</v>
      </c>
      <c r="K106" s="2" t="inlineStr">
        <is>
          <t>EO14411进口商问责，直接</t>
        </is>
      </c>
      <c r="L106" s="2" t="inlineStr">
        <is>
          <t>美国白宫</t>
        </is>
      </c>
      <c r="M106" s="2" t="inlineStr">
        <is>
          <t>Market Access</t>
        </is>
      </c>
      <c r="N106" s="2" t="inlineStr">
        <is>
          <t>market_access</t>
        </is>
      </c>
      <c r="O106" s="2" t="inlineStr">
        <is>
          <t>CASE_002; CASE_010; CSIS_001; WH_001; WH_002</t>
        </is>
      </c>
      <c r="P106" s="2" t="inlineStr">
        <is>
          <t>我们在越南生产后出口美国，能否仅凭申报的越南原产地降低美国市场准入风险？现有证据对真实组件来源和原产地举证提出了什么警示？</t>
        </is>
      </c>
      <c r="Q106" s="2" t="inlineStr">
        <is>
          <t>Evidence ID: WH_001 Title: Executive Order 14411: Strengthening Customs Enforcement（加强海关执法行政令） Publisher: 美国白宫 Country/Jurisdiction: US / Federal Publication date: 2026-06-03 Status: CURRENT Topic: 原产地与转运 Applicability scope: GENERAL Related industries: 通用 Key finding: 收紧进口商资质、保证</t>
        </is>
      </c>
    </row>
    <row r="107">
      <c r="A107" s="2" t="inlineStr">
        <is>
          <t>Q022</t>
        </is>
      </c>
      <c r="B107" s="2" t="n">
        <v>1</v>
      </c>
      <c r="C107" s="2" t="inlineStr">
        <is>
          <t>BIS_001</t>
        </is>
      </c>
      <c r="D107" s="2" t="inlineStr">
        <is>
          <t>Expansion of End-User Controls to Cover Affiliates of Certain Listed Entities（关联企业规则 / 50%穿透规则，临时最终规则）</t>
        </is>
      </c>
      <c r="E107" s="2" t="inlineStr">
        <is>
          <t>出口管制</t>
        </is>
      </c>
      <c r="F107" s="2" t="inlineStr">
        <is>
          <t>S</t>
        </is>
      </c>
      <c r="G107" s="2" t="n">
        <v>2</v>
      </c>
      <c r="H107" s="2" t="n">
        <v>2</v>
      </c>
      <c r="I107" s="3" t="n">
        <v>2</v>
      </c>
      <c r="J107" s="3" t="n">
        <v>2</v>
      </c>
      <c r="K107" s="2" t="inlineStr">
        <is>
          <t>50%穿透规则原文，直接回答市场准入规则</t>
        </is>
      </c>
      <c r="L107" s="2" t="inlineStr">
        <is>
          <t>美国商务部工业与安全局（BIS）</t>
        </is>
      </c>
      <c r="M107" s="2" t="inlineStr">
        <is>
          <t>Market Access</t>
        </is>
      </c>
      <c r="N107" s="2" t="inlineStr">
        <is>
          <t>export_control</t>
        </is>
      </c>
      <c r="O107" s="2" t="inlineStr">
        <is>
          <t>BIS_001; BIS_002; CASE_009; ITA_001</t>
        </is>
      </c>
      <c r="P107" s="2" t="inlineStr">
        <is>
          <t>一家电池材料企业担心客户或客户关联方被美国限制清单覆盖。哪些证据最适合评估这类市场准入风险？</t>
        </is>
      </c>
      <c r="Q107" s="2" t="inlineStr">
        <is>
          <t>Evidence ID: BIS_001 Title: Expansion of End-User Controls to Cover Affiliates of Certain Listed Entities（关联企业规则 / 50%穿透规则，临时最终规则） Publisher: 美国商务部工业与安全局（BIS） Country/Jurisdiction: US / Federal Publication date: 2025-09-30 Status: CURRENT Topic: 出口管制 Applicability scope: GENERAL</t>
        </is>
      </c>
    </row>
    <row r="108">
      <c r="A108" s="2" t="inlineStr">
        <is>
          <t>Q022</t>
        </is>
      </c>
      <c r="B108" s="2" t="n">
        <v>2</v>
      </c>
      <c r="C108" s="2" t="inlineStr">
        <is>
          <t>BIS_002</t>
        </is>
      </c>
      <c r="D108" s="2" t="inlineStr">
        <is>
          <t>One Year Suspension of Expansion of End-User Controls for Affiliates of Certain Listed Entities（关联企业规则暂停一年）</t>
        </is>
      </c>
      <c r="E108" s="2" t="inlineStr">
        <is>
          <t>出口管制</t>
        </is>
      </c>
      <c r="F108" s="2" t="inlineStr">
        <is>
          <t>S</t>
        </is>
      </c>
      <c r="G108" s="2" t="n">
        <v>2</v>
      </c>
      <c r="H108" s="2" t="n">
        <v>2</v>
      </c>
      <c r="I108" s="3" t="n">
        <v>2</v>
      </c>
      <c r="J108" s="3" t="n">
        <v>2</v>
      </c>
      <c r="K108" s="2" t="inlineStr">
        <is>
          <t>暂停令，直接回答时间判断</t>
        </is>
      </c>
      <c r="L108" s="2" t="inlineStr">
        <is>
          <t>美国商务部工业与安全局（BIS）</t>
        </is>
      </c>
      <c r="M108" s="2" t="inlineStr">
        <is>
          <t>Market Access</t>
        </is>
      </c>
      <c r="N108" s="2" t="inlineStr">
        <is>
          <t>export_control</t>
        </is>
      </c>
      <c r="O108" s="2" t="inlineStr">
        <is>
          <t>BIS_001; BIS_002; CASE_009; ITA_001</t>
        </is>
      </c>
      <c r="P108" s="2" t="inlineStr">
        <is>
          <t>一家电池材料企业担心客户或客户关联方被美国限制清单覆盖。哪些证据最适合评估这类市场准入风险？</t>
        </is>
      </c>
      <c r="Q108" s="2" t="inlineStr">
        <is>
          <t>Evidence ID: BIS_002 Title: One Year Suspension of Expansion of End-User Controls for Affiliates of Certain Listed Entities（关联企业规则暂停一年） Publisher: 美国商务部工业与安全局（BIS） Country/Jurisdiction: US / Federal Publication date: 2025-11-12 Status: CURRENT Topic: 出口管制 Applicability scope: GEN</t>
        </is>
      </c>
    </row>
    <row r="109">
      <c r="A109" s="2" t="inlineStr">
        <is>
          <t>Q022</t>
        </is>
      </c>
      <c r="B109" s="2" t="n">
        <v>3</v>
      </c>
      <c r="C109" s="2" t="inlineStr">
        <is>
          <t>CASE_009</t>
        </is>
      </c>
      <c r="D109" s="2" t="inlineStr">
        <is>
          <t>BIS 50%穿透规则：发布→暂停→2026-11-10恢复的完整时间线</t>
        </is>
      </c>
      <c r="E109" s="2" t="inlineStr">
        <is>
          <t>出口管制</t>
        </is>
      </c>
      <c r="F109" s="2" t="inlineStr">
        <is>
          <t>S</t>
        </is>
      </c>
      <c r="G109" s="2" t="n">
        <v>2</v>
      </c>
      <c r="H109" s="2" t="n">
        <v>2</v>
      </c>
      <c r="I109" s="3" t="n">
        <v>2</v>
      </c>
      <c r="J109" s="3" t="n">
        <v>2</v>
      </c>
      <c r="K109" s="2" t="inlineStr">
        <is>
          <t>完整时间线，直接</t>
        </is>
      </c>
      <c r="L109" s="2" t="inlineStr">
        <is>
          <t>美国商务部工业与安全局（BIS）</t>
        </is>
      </c>
      <c r="M109" s="2" t="inlineStr">
        <is>
          <t>Market Access</t>
        </is>
      </c>
      <c r="N109" s="2" t="inlineStr">
        <is>
          <t>export_control</t>
        </is>
      </c>
      <c r="O109" s="2" t="inlineStr">
        <is>
          <t>BIS_001; BIS_002; CASE_009; ITA_001</t>
        </is>
      </c>
      <c r="P109" s="2" t="inlineStr">
        <is>
          <t>一家电池材料企业担心客户或客户关联方被美国限制清单覆盖。哪些证据最适合评估这类市场准入风险？</t>
        </is>
      </c>
      <c r="Q109" s="2" t="inlineStr">
        <is>
          <t>Evidence ID: CASE_009 Title: BIS 50%穿透规则：发布→暂停→2026-11-10恢复的完整时间线 Publisher: 美国商务部工业与安全局（BIS） Country/Jurisdiction: US / Federal Publication date: 2025-09-30 Status: CURRENT Topic: 出口管制 Applicability scope: GENERAL Related industries: 通用 Key finding: 政策事件型案例，由BIS_001和BIS_002组成。可用</t>
        </is>
      </c>
    </row>
    <row r="110">
      <c r="A110" s="2" t="inlineStr">
        <is>
          <t>Q022</t>
        </is>
      </c>
      <c r="B110" s="2" t="n">
        <v>4</v>
      </c>
      <c r="C110" s="2" t="inlineStr">
        <is>
          <t>DHS_001</t>
        </is>
      </c>
      <c r="D110" s="2" t="inlineStr">
        <is>
          <t>Notice Regarding the Uyghur Forced Labor Prevention Act Entity List（UFLPA 实体清单更新公告）</t>
        </is>
      </c>
      <c r="E110" s="2" t="inlineStr">
        <is>
          <t>劳工</t>
        </is>
      </c>
      <c r="F110" s="2" t="inlineStr">
        <is>
          <t>S</t>
        </is>
      </c>
      <c r="G110" s="2" t="n">
        <v>0</v>
      </c>
      <c r="H110" s="2" t="n">
        <v>2</v>
      </c>
      <c r="I110" s="3" t="n">
        <v>0</v>
      </c>
      <c r="J110" s="3" t="n">
        <v>2</v>
      </c>
      <c r="K110" s="2" t="inlineStr">
        <is>
          <t>UFLPA 清单不是美国出口管制受限方清单，与受限方筛查流程无关</t>
        </is>
      </c>
      <c r="L110" s="2" t="inlineStr">
        <is>
          <t>美国国土安全部（DHS，Federal Register）</t>
        </is>
      </c>
      <c r="M110" s="2" t="inlineStr">
        <is>
          <t>Market Access</t>
        </is>
      </c>
      <c r="N110" s="2" t="inlineStr">
        <is>
          <t>export_control</t>
        </is>
      </c>
      <c r="O110" s="2" t="inlineStr">
        <is>
          <t>BIS_001; BIS_002; CASE_009; ITA_001</t>
        </is>
      </c>
      <c r="P110" s="2" t="inlineStr">
        <is>
          <t>一家电池材料企业担心客户或客户关联方被美国限制清单覆盖。哪些证据最适合评估这类市场准入风险？</t>
        </is>
      </c>
      <c r="Q110" s="2" t="inlineStr">
        <is>
          <t>Evidence ID: DHS_001 Title: Notice Regarding the Uyghur Forced Labor Prevention Act Entity List（UFLPA 实体清单更新公告） Publisher: 美国国土安全部（DHS，Federal Register） Country/Jurisdiction: US/CN / Federal Publication date: 2026-08-03 Status: CURRENT Topic: 劳工 Applicability scope: GENERAL Relat</t>
        </is>
      </c>
    </row>
    <row r="111">
      <c r="A111" s="2" t="inlineStr">
        <is>
          <t>Q022</t>
        </is>
      </c>
      <c r="B111" s="2" t="n">
        <v>5</v>
      </c>
      <c r="C111" s="2" t="inlineStr">
        <is>
          <t>EU_001</t>
        </is>
      </c>
      <c r="D111" s="2" t="inlineStr">
        <is>
          <t>Regulation (EU) 2023/1542 concerning batteries and waste batteries（欧盟电池与废电池法规）</t>
        </is>
      </c>
      <c r="E111" s="2" t="inlineStr">
        <is>
          <t>市场准入</t>
        </is>
      </c>
      <c r="F111" s="2" t="inlineStr">
        <is>
          <t>S</t>
        </is>
      </c>
      <c r="G111" s="2" t="n">
        <v>0</v>
      </c>
      <c r="H111" s="2" t="n">
        <v>2</v>
      </c>
      <c r="I111" s="3" t="n">
        <v>0</v>
      </c>
      <c r="J111" s="3" t="n">
        <v>2</v>
      </c>
      <c r="K111" s="2" t="inlineStr">
        <is>
          <t>欧盟电池法规属欧盟市场准入要求，与‘客户被美国限制清单覆盖’的受限方筛查问题无关，属跨辖区噪声</t>
        </is>
      </c>
      <c r="L111" s="2" t="inlineStr">
        <is>
          <t>欧洲议会与欧盟理事会（EUR-Lex / Official Journal）</t>
        </is>
      </c>
      <c r="M111" s="2" t="inlineStr">
        <is>
          <t>Market Access</t>
        </is>
      </c>
      <c r="N111" s="2" t="inlineStr">
        <is>
          <t>export_control</t>
        </is>
      </c>
      <c r="O111" s="2" t="inlineStr">
        <is>
          <t>BIS_001; BIS_002; CASE_009; ITA_001</t>
        </is>
      </c>
      <c r="P111" s="2" t="inlineStr">
        <is>
          <t>一家电池材料企业担心客户或客户关联方被美国限制清单覆盖。哪些证据最适合评估这类市场准入风险？</t>
        </is>
      </c>
      <c r="Q111" s="2" t="inlineStr">
        <is>
          <t>Evidence ID: EU_001 Title: Regulation (EU) 2023/1542 concerning batteries and waste batteries（欧盟电池与废电池法规） Publisher: 欧洲议会与欧盟理事会（EUR-Lex / Official Journal） Country/Jurisdiction: EU / EU-wide Publication date: 2023-07-28 Effective date: 2023-08-17 Status: CURRENT Topic: 市场准入 Appli</t>
        </is>
      </c>
    </row>
    <row r="112">
      <c r="A112" s="2" t="inlineStr">
        <is>
          <t>Q023</t>
        </is>
      </c>
      <c r="B112" s="2" t="n">
        <v>1</v>
      </c>
      <c r="C112" s="2" t="inlineStr">
        <is>
          <t>CASE_002</t>
        </is>
      </c>
      <c r="D112" s="2" t="inlineStr">
        <is>
          <t>美国对东南亚四国光伏产品反规避认定：视为中国原产并适用对华双反</t>
        </is>
      </c>
      <c r="E112" s="2" t="inlineStr">
        <is>
          <t>反规避</t>
        </is>
      </c>
      <c r="F112" s="2" t="inlineStr">
        <is>
          <t>S</t>
        </is>
      </c>
      <c r="G112" s="2" t="n">
        <v>2</v>
      </c>
      <c r="H112" s="2" t="n">
        <v>2</v>
      </c>
      <c r="I112" s="3" t="n">
        <v>2</v>
      </c>
      <c r="J112" s="3" t="n">
        <v>2</v>
      </c>
      <c r="K112" s="2" t="inlineStr">
        <is>
          <t>“认定规避”判例，直接</t>
        </is>
      </c>
      <c r="L112" s="2" t="inlineStr">
        <is>
          <t>美国商务部（经律所解读）</t>
        </is>
      </c>
      <c r="M112" s="2" t="inlineStr">
        <is>
          <t>Market Access</t>
        </is>
      </c>
      <c r="N112" s="2" t="inlineStr">
        <is>
          <t>market_access</t>
        </is>
      </c>
      <c r="O112" s="2" t="inlineStr">
        <is>
          <t>CASE_002; CASE_003; CASE_010; DOC_001; WH_002</t>
        </is>
      </c>
      <c r="P112" s="2" t="inlineStr">
        <is>
          <t>我们考虑在泰国或越南建立面向美国市场的生产基地。光伏反规避案例对‘海外生产即可获得美国市场准入’这一判断有什么借鉴？</t>
        </is>
      </c>
      <c r="Q112" s="2" t="inlineStr">
        <is>
          <t>Evidence ID: CASE_002 Title: 美国对东南亚四国光伏产品反规避认定：视为中国原产并适用对华双反 Publisher: 美国商务部（经律所解读） Country/Jurisdiction: 柬埔寨/马来西亚/泰国/越南 Publication date: 2023-08-18 Status: CURRENT Topic: 反规避 Applicability scope: GENERAL Related industries: 光伏 Key finding: 2022年4月立案，2023年8月终裁。使用中国组件在东南亚完成的电池和组</t>
        </is>
      </c>
    </row>
    <row r="113">
      <c r="A113" s="2" t="inlineStr">
        <is>
          <t>Q023</t>
        </is>
      </c>
      <c r="B113" s="2" t="n">
        <v>2</v>
      </c>
      <c r="C113" s="2" t="inlineStr">
        <is>
          <t>DOC_001</t>
        </is>
      </c>
      <c r="D113" s="2" t="inlineStr">
        <is>
          <t>Final Circumvention Determinations: Crystalline Silicon Photovoltaic Cells from Cambodia, Malaysia, Thailand and Vietnam（东南亚四国光伏反规避终裁）</t>
        </is>
      </c>
      <c r="E113" s="2" t="inlineStr">
        <is>
          <t>反规避</t>
        </is>
      </c>
      <c r="F113" s="2" t="inlineStr">
        <is>
          <t>S</t>
        </is>
      </c>
      <c r="G113" s="2" t="n">
        <v>2</v>
      </c>
      <c r="H113" s="2" t="n">
        <v>2</v>
      </c>
      <c r="I113" s="3" t="n">
        <v>2</v>
      </c>
      <c r="J113" s="3" t="n">
        <v>2</v>
      </c>
      <c r="K113" s="2" t="inlineStr">
        <is>
          <t>官方反规避终裁原文，直接</t>
        </is>
      </c>
      <c r="L113" s="2" t="inlineStr">
        <is>
          <t>美国商务部</t>
        </is>
      </c>
      <c r="M113" s="2" t="inlineStr">
        <is>
          <t>Market Access</t>
        </is>
      </c>
      <c r="N113" s="2" t="inlineStr">
        <is>
          <t>market_access</t>
        </is>
      </c>
      <c r="O113" s="2" t="inlineStr">
        <is>
          <t>CASE_002; CASE_003; CASE_010; DOC_001; WH_002</t>
        </is>
      </c>
      <c r="P113" s="2" t="inlineStr">
        <is>
          <t>我们考虑在泰国或越南建立面向美国市场的生产基地。光伏反规避案例对‘海外生产即可获得美国市场准入’这一判断有什么借鉴？</t>
        </is>
      </c>
      <c r="Q113" s="2" t="inlineStr">
        <is>
          <t>Evidence ID: DOC_001 Title: Final Circumvention Determinations: Crystalline Silicon Photovoltaic Cells from Cambodia, Malaysia, Thailand and Vietnam（东南亚四国光伏反规避终裁） Publisher: 美国商务部 Country/Jurisdiction: US / Federal Publication date: 2023-08-23 Status: CURRENT Topic: 反规避 Applicabi</t>
        </is>
      </c>
    </row>
    <row r="114">
      <c r="A114" s="2" t="inlineStr">
        <is>
          <t>Q023</t>
        </is>
      </c>
      <c r="B114" s="2" t="n">
        <v>3</v>
      </c>
      <c r="C114" s="2" t="inlineStr">
        <is>
          <t>CASE_003</t>
        </is>
      </c>
      <c r="D114" s="2" t="inlineStr">
        <is>
          <t>同一反规避调查中被认定“未规避”的企业（Hanwha、Jinko马来西亚、Boviet越南）</t>
        </is>
      </c>
      <c r="E114" s="2" t="inlineStr">
        <is>
          <t>反规避</t>
        </is>
      </c>
      <c r="F114" s="2" t="inlineStr">
        <is>
          <t>S</t>
        </is>
      </c>
      <c r="G114" s="2" t="n">
        <v>2</v>
      </c>
      <c r="H114" s="2" t="n">
        <v>2</v>
      </c>
      <c r="I114" s="3" t="n">
        <v>2</v>
      </c>
      <c r="J114" s="3" t="n">
        <v>2</v>
      </c>
      <c r="K114" s="2" t="inlineStr">
        <is>
          <t>“未规避”判例，直接对照</t>
        </is>
      </c>
      <c r="L114" s="2" t="inlineStr">
        <is>
          <t>美国商务部（经律所解读）</t>
        </is>
      </c>
      <c r="M114" s="2" t="inlineStr">
        <is>
          <t>Market Access</t>
        </is>
      </c>
      <c r="N114" s="2" t="inlineStr">
        <is>
          <t>market_access</t>
        </is>
      </c>
      <c r="O114" s="2" t="inlineStr">
        <is>
          <t>CASE_002; CASE_003; CASE_010; DOC_001; WH_002</t>
        </is>
      </c>
      <c r="P114" s="2" t="inlineStr">
        <is>
          <t>我们考虑在泰国或越南建立面向美国市场的生产基地。光伏反规避案例对‘海外生产即可获得美国市场准入’这一判断有什么借鉴？</t>
        </is>
      </c>
      <c r="Q114" s="2" t="inlineStr">
        <is>
          <t>Evidence ID: CASE_003 Title: 同一反规避调查中被认定“未规避”的企业（Hanwha、Jinko马来西亚、Boviet越南） Publisher: 美国商务部（经律所解读） Country/Jurisdiction: 马来西亚/越南 Publication date: 2023-08-18 Status: CURRENT Topic: 反规避 Applicability scope: GENERAL Related industries: 光伏 Key finding: 与CASE_002构成对照：同一规则下，供应链结构不同导致</t>
        </is>
      </c>
    </row>
    <row r="115">
      <c r="A115" s="2" t="inlineStr">
        <is>
          <t>Q023</t>
        </is>
      </c>
      <c r="B115" s="2" t="n">
        <v>4</v>
      </c>
      <c r="C115" s="2" t="inlineStr">
        <is>
          <t>WH_002</t>
        </is>
      </c>
      <c r="D115" s="2" t="inlineStr">
        <is>
          <t>The Great Transshipment Scam: Rise, Scope, and Costs（白宫非法转运报告）</t>
        </is>
      </c>
      <c r="E115" s="2" t="inlineStr">
        <is>
          <t>原产地与转运</t>
        </is>
      </c>
      <c r="F115" s="2" t="inlineStr">
        <is>
          <t>S</t>
        </is>
      </c>
      <c r="G115" s="2" t="n">
        <v>2</v>
      </c>
      <c r="H115" s="2" t="n">
        <v>2</v>
      </c>
      <c r="I115" s="3" t="n">
        <v>2</v>
      </c>
      <c r="J115" s="3" t="n">
        <v>2</v>
      </c>
      <c r="K115" s="2" t="inlineStr">
        <is>
          <t>转运执法，直接</t>
        </is>
      </c>
      <c r="L115" s="2" t="inlineStr">
        <is>
          <t>美国白宫贸易与制造业政策办公室</t>
        </is>
      </c>
      <c r="M115" s="2" t="inlineStr">
        <is>
          <t>Market Access</t>
        </is>
      </c>
      <c r="N115" s="2" t="inlineStr">
        <is>
          <t>market_access</t>
        </is>
      </c>
      <c r="O115" s="2" t="inlineStr">
        <is>
          <t>CASE_002; CASE_003; CASE_010; DOC_001; WH_002</t>
        </is>
      </c>
      <c r="P115" s="2" t="inlineStr">
        <is>
          <t>我们考虑在泰国或越南建立面向美国市场的生产基地。光伏反规避案例对‘海外生产即可获得美国市场准入’这一判断有什么借鉴？</t>
        </is>
      </c>
      <c r="Q115" s="2" t="inlineStr">
        <is>
          <t>Evidence ID: WH_002 Title: The Great Transshipment Scam: Rise, Scope, and Costs（白宫非法转运报告） Publisher: 美国白宫贸易与制造业政策办公室 Country/Jurisdiction: US / Federal Publication date: 2026-08-13 Status: CURRENT Topic: 原产地与转运 Applicability scope: GENERAL Related industries: 通用 Key finding: 点名40</t>
        </is>
      </c>
    </row>
    <row r="116">
      <c r="A116" s="2" t="inlineStr">
        <is>
          <t>Q023</t>
        </is>
      </c>
      <c r="B116" s="2" t="n">
        <v>5</v>
      </c>
      <c r="C116" s="2" t="inlineStr">
        <is>
          <t>CASE_010</t>
        </is>
      </c>
      <c r="D116" s="2" t="inlineStr">
        <is>
          <t>白宫点名东南亚为非法转运高风险地区，并推出AI执法工具</t>
        </is>
      </c>
      <c r="E116" s="2" t="inlineStr">
        <is>
          <t>原产地与转运</t>
        </is>
      </c>
      <c r="F116" s="2" t="inlineStr">
        <is>
          <t>S</t>
        </is>
      </c>
      <c r="G116" s="2" t="n">
        <v>2</v>
      </c>
      <c r="H116" s="2" t="n">
        <v>2</v>
      </c>
      <c r="I116" s="3" t="n">
        <v>2</v>
      </c>
      <c r="J116" s="3" t="n">
        <v>2</v>
      </c>
      <c r="K116" s="2" t="inlineStr">
        <is>
          <t>东南亚转运高风险，直接</t>
        </is>
      </c>
      <c r="L116" s="2" t="inlineStr">
        <is>
          <t>美国白宫（经律所解读）</t>
        </is>
      </c>
      <c r="M116" s="2" t="inlineStr">
        <is>
          <t>Market Access</t>
        </is>
      </c>
      <c r="N116" s="2" t="inlineStr">
        <is>
          <t>market_access</t>
        </is>
      </c>
      <c r="O116" s="2" t="inlineStr">
        <is>
          <t>CASE_002; CASE_003; CASE_010; DOC_001; WH_002</t>
        </is>
      </c>
      <c r="P116" s="2" t="inlineStr">
        <is>
          <t>我们考虑在泰国或越南建立面向美国市场的生产基地。光伏反规避案例对‘海外生产即可获得美国市场准入’这一判断有什么借鉴？</t>
        </is>
      </c>
      <c r="Q116" s="2" t="inlineStr">
        <is>
          <t>专业领域 税务 全球贸易 2026年8月13日 转运执法加紧 白宫报告《 大转运骗局 》将非法转运列为主要的关税规避风险，估计年流动额在400亿美元至3030亿美元之间，并宣布扩大使用分析和人工智能工具以识别虚假原产地索赔。 结合行政命令14411收紧的进口商问责要求，依赖供应商声明却未能证明实质性转变发生地点的进口商面临更多关税、处罚、拘留、EAPA行动及可能的刑事执法举报风险。 什么是转运？ 转运通常指通过中介国转运货物，以隐藏其真实产地并获得更优惠的关税待遇。 合法的供应链可能涉及多个国家，但当货物仅被重新标记、重新包装、重新开票、进行轻微加工，或</t>
        </is>
      </c>
    </row>
    <row r="117">
      <c r="A117" s="2" t="inlineStr">
        <is>
          <t>Q024</t>
        </is>
      </c>
      <c r="B117" s="2" t="n">
        <v>1</v>
      </c>
      <c r="C117" s="2" t="inlineStr">
        <is>
          <t>CASE_010</t>
        </is>
      </c>
      <c r="D117" s="2" t="inlineStr">
        <is>
          <t>白宫点名东南亚为非法转运高风险地区，并推出AI执法工具</t>
        </is>
      </c>
      <c r="E117" s="2" t="inlineStr">
        <is>
          <t>原产地与转运</t>
        </is>
      </c>
      <c r="F117" s="2" t="inlineStr">
        <is>
          <t>S</t>
        </is>
      </c>
      <c r="G117" s="2" t="n">
        <v>2</v>
      </c>
      <c r="H117" s="2" t="n">
        <v>2</v>
      </c>
      <c r="I117" s="3" t="n">
        <v>2</v>
      </c>
      <c r="J117" s="3" t="n">
        <v>2</v>
      </c>
      <c r="K117" s="2" t="inlineStr">
        <is>
          <t>准入风险侧，直接</t>
        </is>
      </c>
      <c r="L117" s="2" t="inlineStr">
        <is>
          <t>美国白宫（经律所解读）</t>
        </is>
      </c>
      <c r="M117" s="2" t="inlineStr">
        <is>
          <t>Market Access</t>
        </is>
      </c>
      <c r="N117" s="2" t="inlineStr">
        <is>
          <t>market_access</t>
        </is>
      </c>
      <c r="O117" s="2" t="inlineStr">
        <is>
          <t>CASE_007; CASE_008; CASE_010; CSIS_001; WH_001; WH_002</t>
        </is>
      </c>
      <c r="P117" s="2" t="inlineStr">
        <is>
          <t>董事会想比较东南亚布局带来的市场准入机会与美国强化转运执法带来的风险。现有证据库中哪些政策和企业案例应一起看？</t>
        </is>
      </c>
      <c r="Q117" s="2" t="inlineStr">
        <is>
          <t>进口商应预期，如果新关税措施后采购模式发生变化，来自高关税国家的货物经由中介管辖区转运，或声称的原产国缺乏有意义生产证据，原产地主张将受到更严格的审查。 这些事实模式可能引发信息请求、货物搁置、审计查询、EAPA指控或罚款调查。 新的检测工具和执法能力 CBP及其他机构越来越多地拥有先进的数据工具，使转运更容易被识别。 报告描述了一个人工智能驱动的执法平台“侦探边境”，集成了进口数据分析、供应链地图、路由历史、所有权和关联分析、贸易流异常、产能比较以及计算机视觉，以识别高风险货物和潜在的虚假原产地索赔。 CBP的执法行动已经加快。 报告指出，自2025年</t>
        </is>
      </c>
    </row>
    <row r="118">
      <c r="A118" s="2" t="inlineStr">
        <is>
          <t>Q024</t>
        </is>
      </c>
      <c r="B118" s="2" t="n">
        <v>2</v>
      </c>
      <c r="C118" s="2" t="inlineStr">
        <is>
          <t>WH_002</t>
        </is>
      </c>
      <c r="D118" s="2" t="inlineStr">
        <is>
          <t>The Great Transshipment Scam: Rise, Scope, and Costs（白宫非法转运报告）</t>
        </is>
      </c>
      <c r="E118" s="2" t="inlineStr">
        <is>
          <t>原产地与转运</t>
        </is>
      </c>
      <c r="F118" s="2" t="inlineStr">
        <is>
          <t>S</t>
        </is>
      </c>
      <c r="G118" s="2" t="n">
        <v>2</v>
      </c>
      <c r="H118" s="2" t="n">
        <v>2</v>
      </c>
      <c r="I118" s="3" t="n">
        <v>2</v>
      </c>
      <c r="J118" s="3" t="n">
        <v>2</v>
      </c>
      <c r="K118" s="2" t="inlineStr">
        <is>
          <t>准入风险侧，直接</t>
        </is>
      </c>
      <c r="L118" s="2" t="inlineStr">
        <is>
          <t>美国白宫贸易与制造业政策办公室</t>
        </is>
      </c>
      <c r="M118" s="2" t="inlineStr">
        <is>
          <t>Market Access</t>
        </is>
      </c>
      <c r="N118" s="2" t="inlineStr">
        <is>
          <t>market_access</t>
        </is>
      </c>
      <c r="O118" s="2" t="inlineStr">
        <is>
          <t>CASE_007; CASE_008; CASE_010; CSIS_001; WH_001; WH_002</t>
        </is>
      </c>
      <c r="P118" s="2" t="inlineStr">
        <is>
          <t>董事会想比较东南亚布局带来的市场准入机会与美国强化转运执法带来的风险。现有证据库中哪些政策和企业案例应一起看？</t>
        </is>
      </c>
      <c r="Q118" s="2" t="inlineStr">
        <is>
          <t>Evidence ID: WH_002 Title: The Great Transshipment Scam: Rise, Scope, and Costs（白宫非法转运报告） Publisher: 美国白宫贸易与制造业政策办公室 Country/Jurisdiction: US / Federal Publication date: 2026-08-13 Status: CURRENT Topic: 原产地与转运 Applicability scope: GENERAL Related industries: 通用 Key finding: 点名40</t>
        </is>
      </c>
    </row>
    <row r="119">
      <c r="A119" s="2" t="inlineStr">
        <is>
          <t>Q024</t>
        </is>
      </c>
      <c r="B119" s="2" t="n">
        <v>3</v>
      </c>
      <c r="C119" s="2" t="inlineStr">
        <is>
          <t>WH_001</t>
        </is>
      </c>
      <c r="D119" s="2" t="inlineStr">
        <is>
          <t>Executive Order 14411: Strengthening Customs Enforcement（加强海关执法行政令）</t>
        </is>
      </c>
      <c r="E119" s="2" t="inlineStr">
        <is>
          <t>原产地与转运</t>
        </is>
      </c>
      <c r="F119" s="2" t="inlineStr">
        <is>
          <t>S</t>
        </is>
      </c>
      <c r="G119" s="2" t="n">
        <v>2</v>
      </c>
      <c r="H119" s="2" t="n">
        <v>2</v>
      </c>
      <c r="I119" s="3" t="n">
        <v>2</v>
      </c>
      <c r="J119" s="3" t="n">
        <v>2</v>
      </c>
      <c r="K119" s="2" t="inlineStr">
        <is>
          <t>准入风险侧，直接</t>
        </is>
      </c>
      <c r="L119" s="2" t="inlineStr">
        <is>
          <t>美国白宫</t>
        </is>
      </c>
      <c r="M119" s="2" t="inlineStr">
        <is>
          <t>Market Access</t>
        </is>
      </c>
      <c r="N119" s="2" t="inlineStr">
        <is>
          <t>market_access</t>
        </is>
      </c>
      <c r="O119" s="2" t="inlineStr">
        <is>
          <t>CASE_007; CASE_008; CASE_010; CSIS_001; WH_001; WH_002</t>
        </is>
      </c>
      <c r="P119" s="2" t="inlineStr">
        <is>
          <t>董事会想比较东南亚布局带来的市场准入机会与美国强化转运执法带来的风险。现有证据库中哪些政策和企业案例应一起看？</t>
        </is>
      </c>
      <c r="Q119" s="2" t="inlineStr">
        <is>
          <t>Evidence ID: WH_001 Title: Executive Order 14411: Strengthening Customs Enforcement（加强海关执法行政令） Publisher: 美国白宫 Country/Jurisdiction: US / Federal Publication date: 2026-06-03 Status: CURRENT Topic: 原产地与转运 Applicability scope: GENERAL Related industries: 通用 Key finding: 收紧进口商资质、保证</t>
        </is>
      </c>
    </row>
    <row r="120">
      <c r="A120" s="2" t="inlineStr">
        <is>
          <t>Q024</t>
        </is>
      </c>
      <c r="B120" s="2" t="n">
        <v>4</v>
      </c>
      <c r="C120" s="2" t="inlineStr">
        <is>
          <t>CSIS_001</t>
        </is>
      </c>
      <c r="D120" s="2" t="inlineStr">
        <is>
          <t>The Visibility Gap: How AI Can Stop Chinese Transshipment Under USMCA</t>
        </is>
      </c>
      <c r="E120" s="2" t="inlineStr">
        <is>
          <t>原产地与转运</t>
        </is>
      </c>
      <c r="F120" s="2" t="inlineStr">
        <is>
          <t>A</t>
        </is>
      </c>
      <c r="G120" s="2" t="n">
        <v>2</v>
      </c>
      <c r="H120" s="2" t="n">
        <v>2</v>
      </c>
      <c r="I120" s="3" t="n">
        <v>2</v>
      </c>
      <c r="J120" s="3" t="n">
        <v>2</v>
      </c>
      <c r="K120" s="2" t="inlineStr">
        <is>
          <t>转运可见性分析，直接支撑美国强化转运执法的风险判断</t>
        </is>
      </c>
      <c r="L120" s="2" t="inlineStr">
        <is>
          <t>战略与国际研究中心（CSIS）</t>
        </is>
      </c>
      <c r="M120" s="2" t="inlineStr">
        <is>
          <t>Market Access</t>
        </is>
      </c>
      <c r="N120" s="2" t="inlineStr">
        <is>
          <t>market_access</t>
        </is>
      </c>
      <c r="O120" s="2" t="inlineStr">
        <is>
          <t>CASE_007; CASE_008; CASE_010; CSIS_001; WH_001; WH_002</t>
        </is>
      </c>
      <c r="P120" s="2" t="inlineStr">
        <is>
          <t>董事会想比较东南亚布局带来的市场准入机会与美国强化转运执法带来的风险。现有证据库中哪些政策和企业案例应一起看？</t>
        </is>
      </c>
      <c r="Q120" s="2" t="inlineStr">
        <is>
          <t>Evidence ID: CSIS_001 Title: The Visibility Gap: How AI Can Stop Chinese Transshipment Under USMCA Publisher: 战略与国际研究中心（CSIS） Country/Jurisdiction: US / Federal Publication date: 2026-08 Status: CURRENT Topic: 原产地与转运 Applicability scope: GENERAL Related industries: 通用 Key finding</t>
        </is>
      </c>
    </row>
    <row r="121">
      <c r="A121" s="2" t="inlineStr">
        <is>
          <t>Q024</t>
        </is>
      </c>
      <c r="B121" s="2" t="n">
        <v>5</v>
      </c>
      <c r="C121" s="2" t="inlineStr">
        <is>
          <t>CASE_008</t>
        </is>
      </c>
      <c r="D121" s="2" t="inlineStr">
        <is>
          <t>光模块厂商选择东南亚建厂以规避与欧美客户合作风险（中际旭创互动平台回复等）</t>
        </is>
      </c>
      <c r="E121" s="2" t="inlineStr">
        <is>
          <t>供应链布局</t>
        </is>
      </c>
      <c r="F121" s="2" t="inlineStr">
        <is>
          <t>B+</t>
        </is>
      </c>
      <c r="G121" s="2" t="n">
        <v>2</v>
      </c>
      <c r="H121" s="2" t="n">
        <v>1</v>
      </c>
      <c r="I121" s="3" t="n">
        <v>2</v>
      </c>
      <c r="J121" s="3" t="n">
        <v>1</v>
      </c>
      <c r="K121" s="2" t="inlineStr">
        <is>
          <t>东南亚建厂规避客户风险，直接说明市场准入机会</t>
        </is>
      </c>
      <c r="L121" s="2" t="inlineStr">
        <is>
          <t>中国基金报</t>
        </is>
      </c>
      <c r="M121" s="2" t="inlineStr">
        <is>
          <t>Market Access</t>
        </is>
      </c>
      <c r="N121" s="2" t="inlineStr">
        <is>
          <t>market_access</t>
        </is>
      </c>
      <c r="O121" s="2" t="inlineStr">
        <is>
          <t>CASE_007; CASE_008; CASE_010; CSIS_001; WH_001; WH_002</t>
        </is>
      </c>
      <c r="P121" s="2" t="inlineStr">
        <is>
          <t>董事会想比较东南亚布局带来的市场准入机会与美国强化转运执法带来的风险。现有证据库中哪些政策和企业案例应一起看？</t>
        </is>
      </c>
      <c r="Q121" s="2" t="inlineStr">
        <is>
          <t>中国基金报记者 文夕 全球科技巨头持续加码算力，光模块环节厂商已成最大赢家之一。 7月14日，市值超1600亿元的全球光模块龙头中际旭创披露了一份“炸裂”的半年业绩预告。 数据显示，中际旭创预计上半年实现归母净利润21. 5亿元-25亿元，增长幅度上限超300%，而业绩下限水平甚至已可比肩去年全年。 半年业绩或超去年全年 中际旭创业绩预告显示，该公司预计上半年实现净利润21. 5亿元-25亿元，同比增长250. 3%-307. 33%。 而且，中际旭创还称，今年上半年确认股权激励费用减少公司合并净利润约9300万元。 对于上半年业绩大幅增长，中际旭创解释</t>
        </is>
      </c>
    </row>
    <row r="122">
      <c r="A122" s="2" t="inlineStr">
        <is>
          <t>Q025</t>
        </is>
      </c>
      <c r="B122" s="2" t="n">
        <v>1</v>
      </c>
      <c r="C122" s="2" t="inlineStr">
        <is>
          <t>UNCTAD_001</t>
        </is>
      </c>
      <c r="D122" s="2" t="inlineStr">
        <is>
          <t>World Investment Report 2026: International Investment in a Turbulent Era</t>
        </is>
      </c>
      <c r="E122" s="2" t="inlineStr">
        <is>
          <t>对外投资</t>
        </is>
      </c>
      <c r="F122" s="2" t="inlineStr">
        <is>
          <t>A+</t>
        </is>
      </c>
      <c r="G122" s="2" t="n">
        <v>2</v>
      </c>
      <c r="H122" s="2" t="n">
        <v>2</v>
      </c>
      <c r="I122" s="3" t="n">
        <v>2</v>
      </c>
      <c r="J122" s="3" t="n">
        <v>2</v>
      </c>
      <c r="K122" s="2" t="inlineStr">
        <is>
          <t>全球投资趋势，直接</t>
        </is>
      </c>
      <c r="L122" s="2" t="inlineStr">
        <is>
          <t>联合国贸易和发展会议（UNCTAD）</t>
        </is>
      </c>
      <c r="M122" s="2" t="inlineStr">
        <is>
          <t>Market Access</t>
        </is>
      </c>
      <c r="N122" s="2" t="inlineStr">
        <is>
          <t>trade_policy</t>
        </is>
      </c>
      <c r="O122" s="2" t="inlineStr">
        <is>
          <t>IMF_001; MCK_001; UNCTAD_001; WEF_001; WTO_001</t>
        </is>
      </c>
      <c r="P122" s="2" t="inlineStr">
        <is>
          <t>如果全球贸易增速放缓、跨境投资更加偏向战略行业，公司进入海外市场时应如何理解外部需求与投资环境？哪些宏观证据最相关？</t>
        </is>
      </c>
      <c r="Q122" s="2" t="inlineStr">
        <is>
          <t>Evidence ID: UNCTAD_001 Title: World Investment Report 2026: International Investment in a Turbulent Era Publisher: 联合国贸易和发展会议（UNCTAD） Country/Jurisdiction: 全球 Publication date: 2026-07-07 Status: CURRENT Topic: 对外投资 Applicability scope: GENERAL Related industries: 通用 Key finding</t>
        </is>
      </c>
    </row>
    <row r="123">
      <c r="A123" s="2" t="inlineStr">
        <is>
          <t>Q025</t>
        </is>
      </c>
      <c r="B123" s="2" t="n">
        <v>2</v>
      </c>
      <c r="C123" s="2" t="inlineStr">
        <is>
          <t>WTO_001</t>
        </is>
      </c>
      <c r="D123" s="2" t="inlineStr">
        <is>
          <t>Global Trade Outlook and Statistics（2026年3月版）</t>
        </is>
      </c>
      <c r="E123" s="2" t="inlineStr">
        <is>
          <t>贸易流</t>
        </is>
      </c>
      <c r="F123" s="2" t="inlineStr">
        <is>
          <t>A+</t>
        </is>
      </c>
      <c r="G123" s="2" t="n">
        <v>2</v>
      </c>
      <c r="H123" s="2" t="n">
        <v>2</v>
      </c>
      <c r="I123" s="3" t="n">
        <v>2</v>
      </c>
      <c r="J123" s="3" t="n">
        <v>2</v>
      </c>
      <c r="K123" s="2" t="inlineStr">
        <is>
          <t>贸易增速放缓，直接</t>
        </is>
      </c>
      <c r="L123" s="2" t="inlineStr">
        <is>
          <t>世界贸易组织（WTO）</t>
        </is>
      </c>
      <c r="M123" s="2" t="inlineStr">
        <is>
          <t>Market Access</t>
        </is>
      </c>
      <c r="N123" s="2" t="inlineStr">
        <is>
          <t>trade_policy</t>
        </is>
      </c>
      <c r="O123" s="2" t="inlineStr">
        <is>
          <t>IMF_001; MCK_001; UNCTAD_001; WEF_001; WTO_001</t>
        </is>
      </c>
      <c r="P123" s="2" t="inlineStr">
        <is>
          <t>如果全球贸易增速放缓、跨境投资更加偏向战略行业，公司进入海外市场时应如何理解外部需求与投资环境？哪些宏观证据最相关？</t>
        </is>
      </c>
      <c r="Q123" s="2" t="inlineStr">
        <is>
          <t>Evidence ID: WTO_001 Title: Global Trade Outlook and Statistics（2026年3月版） Publisher: 世界贸易组织（WTO） Country/Jurisdiction: 全球 Publication date: 2026-03 Status: CURRENT Topic: 贸易流 Applicability scope: GENERAL Related industries: 通用 Key finding: 基准情景下2026年货物贸易量增速由2025年的4.6%放缓至1.9%。 Glo</t>
        </is>
      </c>
    </row>
    <row r="124">
      <c r="A124" s="2" t="inlineStr">
        <is>
          <t>Q025</t>
        </is>
      </c>
      <c r="B124" s="2" t="n">
        <v>3</v>
      </c>
      <c r="C124" s="2" t="inlineStr">
        <is>
          <t>IMF_001</t>
        </is>
      </c>
      <c r="D124" s="2" t="inlineStr">
        <is>
          <t>World Economic Outlook, April 2023, Chapter 4: Geoeconomic Fragmentation and Foreign Direct Investment</t>
        </is>
      </c>
      <c r="E124" s="2" t="inlineStr">
        <is>
          <t>对外投资</t>
        </is>
      </c>
      <c r="F124" s="2" t="inlineStr">
        <is>
          <t>A+</t>
        </is>
      </c>
      <c r="G124" s="2" t="n">
        <v>2</v>
      </c>
      <c r="H124" s="2" t="n">
        <v>2</v>
      </c>
      <c r="I124" s="3" t="n">
        <v>2</v>
      </c>
      <c r="J124" s="3" t="n">
        <v>2</v>
      </c>
      <c r="K124" s="2" t="inlineStr">
        <is>
          <t>外部需求框架，直接</t>
        </is>
      </c>
      <c r="L124" s="2" t="inlineStr">
        <is>
          <t>国际货币基金组织（IMF）</t>
        </is>
      </c>
      <c r="M124" s="2" t="inlineStr">
        <is>
          <t>Market Access</t>
        </is>
      </c>
      <c r="N124" s="2" t="inlineStr">
        <is>
          <t>trade_policy</t>
        </is>
      </c>
      <c r="O124" s="2" t="inlineStr">
        <is>
          <t>IMF_001; MCK_001; UNCTAD_001; WEF_001; WTO_001</t>
        </is>
      </c>
      <c r="P124" s="2" t="inlineStr">
        <is>
          <t>如果全球贸易增速放缓、跨境投资更加偏向战略行业，公司进入海外市场时应如何理解外部需求与投资环境？哪些宏观证据最相关？</t>
        </is>
      </c>
      <c r="Q124" s="2" t="inlineStr">
        <is>
          <t>Evidence ID: IMF_001 Title: World Economic Outlook, April 2023, Chapter 4: Geoeconomic Fragmentation and Foreign Direct Investment Publisher: 国际货币基金组织（IMF） Country/Jurisdiction: 全球 Publication date: 2023-04 Status: CURRENT Topic: 对外投资 Applicability scope: GENERAL Related industri</t>
        </is>
      </c>
    </row>
    <row r="125">
      <c r="A125" s="2" t="inlineStr">
        <is>
          <t>Q025</t>
        </is>
      </c>
      <c r="B125" s="2" t="n">
        <v>4</v>
      </c>
      <c r="C125" s="2" t="inlineStr">
        <is>
          <t>WTO_002</t>
        </is>
      </c>
      <c r="D125" s="2" t="inlineStr">
        <is>
          <t>Trade Policy Review: Report by the Secretariat — India（WT/TPR/S/403）印度第七次贸易政策审议秘书处报告</t>
        </is>
      </c>
      <c r="E125" s="2" t="inlineStr">
        <is>
          <t>贸易流</t>
        </is>
      </c>
      <c r="F125" s="2" t="inlineStr">
        <is>
          <t>A+</t>
        </is>
      </c>
      <c r="G125" s="2" t="n">
        <v>1</v>
      </c>
      <c r="H125" s="2" t="n">
        <v>2</v>
      </c>
      <c r="I125" s="3" t="n">
        <v>1</v>
      </c>
      <c r="J125" s="3" t="n">
        <v>2</v>
      </c>
      <c r="K125" s="2" t="inlineStr">
        <is>
          <t>WTO 对印贸易政策审议可作国别贸易政策环境证据，但非全球宏观需求/投资环境证据</t>
        </is>
      </c>
      <c r="L125" s="2" t="inlineStr">
        <is>
          <t>世界贸易组织（WTO）</t>
        </is>
      </c>
      <c r="M125" s="2" t="inlineStr">
        <is>
          <t>Market Access</t>
        </is>
      </c>
      <c r="N125" s="2" t="inlineStr">
        <is>
          <t>trade_policy</t>
        </is>
      </c>
      <c r="O125" s="2" t="inlineStr">
        <is>
          <t>IMF_001; MCK_001; UNCTAD_001; WEF_001; WTO_001</t>
        </is>
      </c>
      <c r="P125" s="2" t="inlineStr">
        <is>
          <t>如果全球贸易增速放缓、跨境投资更加偏向战略行业，公司进入海外市场时应如何理解外部需求与投资环境？哪些宏观证据最相关？</t>
        </is>
      </c>
      <c r="Q125" s="2" t="inlineStr">
        <is>
          <t>Evidence ID: WTO_002 Title: Trade Policy Review: Report by the Secretariat — India（WT/TPR/S/403）印度第七次贸易政策审议秘书处报告 Publisher: 世界贸易组织（WTO） Country/Jurisdiction: IN / National Publication date: 2020-11-25 Status: CURRENT Topic: 贸易流 Applicability scope: GENERAL Related industries: 通用</t>
        </is>
      </c>
    </row>
    <row r="126">
      <c r="A126" s="2" t="inlineStr">
        <is>
          <t>Q025</t>
        </is>
      </c>
      <c r="B126" s="2" t="n">
        <v>5</v>
      </c>
      <c r="C126" s="2" t="inlineStr">
        <is>
          <t>WTO_003</t>
        </is>
      </c>
      <c r="D126" s="2" t="inlineStr">
        <is>
          <t>WTO Tariff Profile: India — Tariffs and Imports Summary（WTO国别关税快照：印度）</t>
        </is>
      </c>
      <c r="E126" s="2" t="inlineStr">
        <is>
          <t>贸易流</t>
        </is>
      </c>
      <c r="F126" s="2" t="inlineStr">
        <is>
          <t>A+</t>
        </is>
      </c>
      <c r="G126" s="2" t="n">
        <v>1</v>
      </c>
      <c r="H126" s="2" t="n">
        <v>2</v>
      </c>
      <c r="I126" s="3" t="n">
        <v>1</v>
      </c>
      <c r="J126" s="3" t="n">
        <v>2</v>
      </c>
      <c r="K126" s="2" t="inlineStr">
        <is>
          <t>WTO 印度关税快照可作国别准入环境数据，但非全球宏观趋势证据</t>
        </is>
      </c>
      <c r="L126" s="2" t="inlineStr">
        <is>
          <t>世界贸易组织（WTO）</t>
        </is>
      </c>
      <c r="M126" s="2" t="inlineStr">
        <is>
          <t>Market Access</t>
        </is>
      </c>
      <c r="N126" s="2" t="inlineStr">
        <is>
          <t>trade_policy</t>
        </is>
      </c>
      <c r="O126" s="2" t="inlineStr">
        <is>
          <t>IMF_001; MCK_001; UNCTAD_001; WEF_001; WTO_001</t>
        </is>
      </c>
      <c r="P126" s="2" t="inlineStr">
        <is>
          <t>如果全球贸易增速放缓、跨境投资更加偏向战略行业，公司进入海外市场时应如何理解外部需求与投资环境？哪些宏观证据最相关？</t>
        </is>
      </c>
      <c r="Q126" s="2" t="inlineStr">
        <is>
          <t>Evidence ID: WTO_003 Title: WTO Tariff Profile: India — Tariffs and Imports Summary（WTO国别关税快照：印度） Publisher: 世界贸易组织（WTO） Country/Jurisdiction: IN / National Publication date: 2025-07 Status: CURRENT Topic: 贸易流 Applicability scope: GENERAL Related industries: 通用 Key finding: WTO国别</t>
        </is>
      </c>
    </row>
    <row r="127">
      <c r="A127" s="2" t="inlineStr">
        <is>
          <t>Q026</t>
        </is>
      </c>
      <c r="B127" s="2" t="n">
        <v>1</v>
      </c>
      <c r="C127" s="2" t="inlineStr">
        <is>
          <t>BIS_002</t>
        </is>
      </c>
      <c r="D127" s="2" t="inlineStr">
        <is>
          <t>One Year Suspension of Expansion of End-User Controls for Affiliates of Certain Listed Entities（关联企业规则暂停一年）</t>
        </is>
      </c>
      <c r="E127" s="2" t="inlineStr">
        <is>
          <t>出口管制</t>
        </is>
      </c>
      <c r="F127" s="2" t="inlineStr">
        <is>
          <t>S</t>
        </is>
      </c>
      <c r="G127" s="2" t="n">
        <v>2</v>
      </c>
      <c r="H127" s="2" t="n">
        <v>2</v>
      </c>
      <c r="I127" s="3" t="n">
        <v>2</v>
      </c>
      <c r="J127" s="3" t="n">
        <v>2</v>
      </c>
      <c r="K127" s="2" t="inlineStr">
        <is>
          <t>情景B（暂停延长）的直接依据</t>
        </is>
      </c>
      <c r="L127" s="2" t="inlineStr">
        <is>
          <t>美国商务部工业与安全局（BIS）</t>
        </is>
      </c>
      <c r="M127" s="2" t="inlineStr">
        <is>
          <t>Scenario Simulation Support</t>
        </is>
      </c>
      <c r="N127" s="2" t="inlineStr">
        <is>
          <t>export_control</t>
        </is>
      </c>
      <c r="O127" s="2" t="inlineStr">
        <is>
          <t>BIS_001; BIS_002; CASE_009; FR_001; ITA_001</t>
        </is>
      </c>
      <c r="P127" s="2" t="inlineStr">
        <is>
          <t>情景A：BIS 50%关联企业规则按计划恢复；情景B：暂停继续延长。对于依赖美国客户的制造企业，两种情景下应重点比较哪些合规和客户准入影响？</t>
        </is>
      </c>
      <c r="Q127" s="2" t="inlineStr">
        <is>
          <t>Evidence ID: BIS_002 Title: One Year Suspension of Expansion of End-User Controls for Affiliates of Certain Listed Entities（关联企业规则暂停一年） Publisher: 美国商务部工业与安全局（BIS） Country/Jurisdiction: US / Federal Publication date: 2025-11-12 Status: CURRENT Topic: 出口管制 Applicability scope: GEN</t>
        </is>
      </c>
    </row>
    <row r="128">
      <c r="A128" s="2" t="inlineStr">
        <is>
          <t>Q026</t>
        </is>
      </c>
      <c r="B128" s="2" t="n">
        <v>2</v>
      </c>
      <c r="C128" s="2" t="inlineStr">
        <is>
          <t>CASE_009</t>
        </is>
      </c>
      <c r="D128" s="2" t="inlineStr">
        <is>
          <t>BIS 50%穿透规则：发布→暂停→2026-11-10恢复的完整时间线</t>
        </is>
      </c>
      <c r="E128" s="2" t="inlineStr">
        <is>
          <t>出口管制</t>
        </is>
      </c>
      <c r="F128" s="2" t="inlineStr">
        <is>
          <t>S</t>
        </is>
      </c>
      <c r="G128" s="2" t="n">
        <v>2</v>
      </c>
      <c r="H128" s="2" t="n">
        <v>2</v>
      </c>
      <c r="I128" s="3" t="n">
        <v>2</v>
      </c>
      <c r="J128" s="3" t="n">
        <v>2</v>
      </c>
      <c r="K128" s="2" t="inlineStr">
        <is>
          <t>完整时间线，直接</t>
        </is>
      </c>
      <c r="L128" s="2" t="inlineStr">
        <is>
          <t>美国商务部工业与安全局（BIS）</t>
        </is>
      </c>
      <c r="M128" s="2" t="inlineStr">
        <is>
          <t>Scenario Simulation Support</t>
        </is>
      </c>
      <c r="N128" s="2" t="inlineStr">
        <is>
          <t>export_control</t>
        </is>
      </c>
      <c r="O128" s="2" t="inlineStr">
        <is>
          <t>BIS_001; BIS_002; CASE_009; FR_001; ITA_001</t>
        </is>
      </c>
      <c r="P128" s="2" t="inlineStr">
        <is>
          <t>情景A：BIS 50%关联企业规则按计划恢复；情景B：暂停继续延长。对于依赖美国客户的制造企业，两种情景下应重点比较哪些合规和客户准入影响？</t>
        </is>
      </c>
      <c r="Q128" s="2" t="inlineStr">
        <is>
          <t>Evidence ID: CASE_009 Title: BIS 50%穿透规则：发布→暂停→2026-11-10恢复的完整时间线 Publisher: 美国商务部工业与安全局（BIS） Country/Jurisdiction: US / Federal Publication date: 2025-09-30 Status: CURRENT Topic: 出口管制 Applicability scope: GENERAL Related industries: 通用 Key finding: 政策事件型案例，由BIS_001和BIS_002组成。可用</t>
        </is>
      </c>
    </row>
    <row r="129">
      <c r="A129" s="2" t="inlineStr">
        <is>
          <t>Q026</t>
        </is>
      </c>
      <c r="B129" s="2" t="n">
        <v>3</v>
      </c>
      <c r="C129" s="2" t="inlineStr">
        <is>
          <t>BIS_001</t>
        </is>
      </c>
      <c r="D129" s="2" t="inlineStr">
        <is>
          <t>Expansion of End-User Controls to Cover Affiliates of Certain Listed Entities（关联企业规则 / 50%穿透规则，临时最终规则）</t>
        </is>
      </c>
      <c r="E129" s="2" t="inlineStr">
        <is>
          <t>出口管制</t>
        </is>
      </c>
      <c r="F129" s="2" t="inlineStr">
        <is>
          <t>S</t>
        </is>
      </c>
      <c r="G129" s="2" t="n">
        <v>2</v>
      </c>
      <c r="H129" s="2" t="n">
        <v>2</v>
      </c>
      <c r="I129" s="3" t="n">
        <v>2</v>
      </c>
      <c r="J129" s="3" t="n">
        <v>2</v>
      </c>
      <c r="K129" s="2" t="inlineStr">
        <is>
          <t>情景A（规则恢复）的直接依据</t>
        </is>
      </c>
      <c r="L129" s="2" t="inlineStr">
        <is>
          <t>美国商务部工业与安全局（BIS）</t>
        </is>
      </c>
      <c r="M129" s="2" t="inlineStr">
        <is>
          <t>Scenario Simulation Support</t>
        </is>
      </c>
      <c r="N129" s="2" t="inlineStr">
        <is>
          <t>export_control</t>
        </is>
      </c>
      <c r="O129" s="2" t="inlineStr">
        <is>
          <t>BIS_001; BIS_002; CASE_009; FR_001; ITA_001</t>
        </is>
      </c>
      <c r="P129" s="2" t="inlineStr">
        <is>
          <t>情景A：BIS 50%关联企业规则按计划恢复；情景B：暂停继续延长。对于依赖美国客户的制造企业，两种情景下应重点比较哪些合规和客户准入影响？</t>
        </is>
      </c>
      <c r="Q129" s="2" t="inlineStr">
        <is>
          <t>Evidence ID: BIS_001 Title: Expansion of End-User Controls to Cover Affiliates of Certain Listed Entities（关联企业规则 / 50%穿透规则，临时最终规则） Publisher: 美国商务部工业与安全局（BIS） Country/Jurisdiction: US / Federal Publication date: 2025-09-30 Status: CURRENT Topic: 出口管制 Applicability scope: GENERAL</t>
        </is>
      </c>
    </row>
    <row r="130">
      <c r="A130" s="2" t="inlineStr">
        <is>
          <t>Q026</t>
        </is>
      </c>
      <c r="B130" s="2" t="n">
        <v>4</v>
      </c>
      <c r="C130" s="2" t="inlineStr">
        <is>
          <t>CASE_001</t>
        </is>
      </c>
      <c r="D130" s="2" t="inlineStr">
        <is>
          <t>Dawang Metals：客户订单转移印度后回流，企业放弃海外建厂</t>
        </is>
      </c>
      <c r="E130" s="2" t="inlineStr">
        <is>
          <t>供应链布局</t>
        </is>
      </c>
      <c r="F130" s="2" t="inlineStr">
        <is>
          <t>B+</t>
        </is>
      </c>
      <c r="G130" s="2" t="n">
        <v>0</v>
      </c>
      <c r="H130" s="2" t="n">
        <v>1</v>
      </c>
      <c r="I130" s="3" t="n">
        <v>0</v>
      </c>
      <c r="J130" s="3" t="n">
        <v>1</v>
      </c>
      <c r="K130" s="2" t="inlineStr">
        <is>
          <t>金属铸造回流案例，与BIS规则情景无关</t>
        </is>
      </c>
      <c r="L130" s="2" t="inlineStr">
        <is>
          <t>路透社（Reuters）</t>
        </is>
      </c>
      <c r="M130" s="2" t="inlineStr">
        <is>
          <t>Scenario Simulation Support</t>
        </is>
      </c>
      <c r="N130" s="2" t="inlineStr">
        <is>
          <t>export_control</t>
        </is>
      </c>
      <c r="O130" s="2" t="inlineStr">
        <is>
          <t>BIS_001; BIS_002; CASE_009; FR_001; ITA_001</t>
        </is>
      </c>
      <c r="P130" s="2" t="inlineStr">
        <is>
          <t>情景A：BIS 50%关联企业规则按计划恢复；情景B：暂停继续延长。对于依赖美国客户的制造企业，两种情景下应重点比较哪些合规和客户准入影响？</t>
        </is>
      </c>
      <c r="Q130" s="2" t="inlineStr">
        <is>
          <t>Evidence ID: CASE_001 Title: Dawang Metals：客户订单转移印度后回流，企业放弃海外建厂 Publisher: 路透社（Reuters） Country/Jurisdiction: CN / National Publication date: 2026-09-14 Status: CURRENT Topic: 供应链布局 Applicability scope: GENERAL Related industries: 金属铸造 Key finding: 路透原文《Companies left China to do</t>
        </is>
      </c>
    </row>
    <row r="131">
      <c r="A131" s="2" t="inlineStr">
        <is>
          <t>Q026</t>
        </is>
      </c>
      <c r="B131" s="2" t="n">
        <v>5</v>
      </c>
      <c r="C131" s="2" t="inlineStr">
        <is>
          <t>FR_001</t>
        </is>
      </c>
      <c r="D131" s="2" t="inlineStr">
        <is>
          <t>Federal Register API（美国联邦公报）</t>
        </is>
      </c>
      <c r="E131" s="2" t="inlineStr">
        <is>
          <t>出口管制/关税</t>
        </is>
      </c>
      <c r="F131" s="2" t="inlineStr">
        <is>
          <t>S</t>
        </is>
      </c>
      <c r="G131" s="2" t="n">
        <v>2</v>
      </c>
      <c r="H131" s="2" t="n">
        <v>2</v>
      </c>
      <c r="I131" s="3" t="n">
        <v>2</v>
      </c>
      <c r="J131" s="3" t="n">
        <v>2</v>
      </c>
      <c r="K131" s="2" t="inlineStr">
        <is>
          <t>跟踪情景走向的官方监测入口</t>
        </is>
      </c>
      <c r="L131" s="2" t="inlineStr">
        <is>
          <t>美国国家档案馆联邦公报办公室</t>
        </is>
      </c>
      <c r="M131" s="2" t="inlineStr">
        <is>
          <t>Scenario Simulation Support</t>
        </is>
      </c>
      <c r="N131" s="2" t="inlineStr">
        <is>
          <t>export_control</t>
        </is>
      </c>
      <c r="O131" s="2" t="inlineStr">
        <is>
          <t>BIS_001; BIS_002; CASE_009; FR_001; ITA_001</t>
        </is>
      </c>
      <c r="P131" s="2" t="inlineStr">
        <is>
          <t>情景A：BIS 50%关联企业规则按计划恢复；情景B：暂停继续延长。对于依赖美国客户的制造企业，两种情景下应重点比较哪些合规和客户准入影响？</t>
        </is>
      </c>
      <c r="Q131" s="2" t="inlineStr">
        <is>
          <t>Evidence ID: FR_001 Title: Federal Register API（美国联邦公报） Publisher: 美国国家档案馆联邦公报办公室 Country/Jurisdiction: US / Federal Publication date: 持续更新（每日） Status: CURRENT Topic: 出口管制/关税 Applicability scope: GENERAL Related industries: 通用 Key finding: 免费，无需key；按机构（BIS/USTR/CBP）过滤。 Bulk datab</t>
        </is>
      </c>
    </row>
    <row r="132">
      <c r="A132" s="2" t="inlineStr">
        <is>
          <t>Q027</t>
        </is>
      </c>
      <c r="B132" s="2" t="n">
        <v>1</v>
      </c>
      <c r="C132" s="2" t="inlineStr">
        <is>
          <t>CASE_002</t>
        </is>
      </c>
      <c r="D132" s="2" t="inlineStr">
        <is>
          <t>美国对东南亚四国光伏产品反规避认定：视为中国原产并适用对华双反</t>
        </is>
      </c>
      <c r="E132" s="2" t="inlineStr">
        <is>
          <t>反规避</t>
        </is>
      </c>
      <c r="F132" s="2" t="inlineStr">
        <is>
          <t>S</t>
        </is>
      </c>
      <c r="G132" s="2" t="n">
        <v>2</v>
      </c>
      <c r="H132" s="2" t="n">
        <v>2</v>
      </c>
      <c r="I132" s="3" t="n">
        <v>2</v>
      </c>
      <c r="J132" s="3" t="n">
        <v>2</v>
      </c>
      <c r="K132" s="2" t="inlineStr">
        <is>
          <t>“认定规避”判例，直接</t>
        </is>
      </c>
      <c r="L132" s="2" t="inlineStr">
        <is>
          <t>美国商务部（经律所解读）</t>
        </is>
      </c>
      <c r="M132" s="2" t="inlineStr">
        <is>
          <t>Scenario Simulation Support</t>
        </is>
      </c>
      <c r="N132" s="2" t="inlineStr">
        <is>
          <t>trade_policy</t>
        </is>
      </c>
      <c r="O132" s="2" t="inlineStr">
        <is>
          <t>DOC_001; CASE_002; CASE_003; WH_002; CSIS_001</t>
        </is>
      </c>
      <c r="P132" s="2" t="inlineStr">
        <is>
          <t>情景A：公司继续从中国直接出口美国；情景B：将部分工序迁至东南亚。基于现有反规避和转运证据，哪种方案的贸易风险更低，评估时必须检查哪些条件？</t>
        </is>
      </c>
      <c r="Q132" s="2" t="inlineStr">
        <is>
          <t>Evidence ID: CASE_002 Title: 美国对东南亚四国光伏产品反规避认定：视为中国原产并适用对华双反 Publisher: 美国商务部（经律所解读） Country/Jurisdiction: 柬埔寨/马来西亚/泰国/越南 Publication date: 2023-08-18 Status: CURRENT Topic: 反规避 Applicability scope: GENERAL Related industries: 光伏 Key finding: 2022年4月立案，2023年8月终裁。使用中国组件在东南亚完成的电池和组</t>
        </is>
      </c>
    </row>
    <row r="133">
      <c r="A133" s="2" t="inlineStr">
        <is>
          <t>Q027</t>
        </is>
      </c>
      <c r="B133" s="2" t="n">
        <v>2</v>
      </c>
      <c r="C133" s="2" t="inlineStr">
        <is>
          <t>DOC_001</t>
        </is>
      </c>
      <c r="D133" s="2" t="inlineStr">
        <is>
          <t>Final Circumvention Determinations: Crystalline Silicon Photovoltaic Cells from Cambodia, Malaysia, Thailand and Vietnam（东南亚四国光伏反规避终裁）</t>
        </is>
      </c>
      <c r="E133" s="2" t="inlineStr">
        <is>
          <t>反规避</t>
        </is>
      </c>
      <c r="F133" s="2" t="inlineStr">
        <is>
          <t>S</t>
        </is>
      </c>
      <c r="G133" s="2" t="n">
        <v>2</v>
      </c>
      <c r="H133" s="2" t="n">
        <v>2</v>
      </c>
      <c r="I133" s="3" t="n">
        <v>2</v>
      </c>
      <c r="J133" s="3" t="n">
        <v>2</v>
      </c>
      <c r="K133" s="2" t="inlineStr">
        <is>
          <t>终裁原文，直接</t>
        </is>
      </c>
      <c r="L133" s="2" t="inlineStr">
        <is>
          <t>美国商务部</t>
        </is>
      </c>
      <c r="M133" s="2" t="inlineStr">
        <is>
          <t>Scenario Simulation Support</t>
        </is>
      </c>
      <c r="N133" s="2" t="inlineStr">
        <is>
          <t>trade_policy</t>
        </is>
      </c>
      <c r="O133" s="2" t="inlineStr">
        <is>
          <t>DOC_001; CASE_002; CASE_003; WH_002; CSIS_001</t>
        </is>
      </c>
      <c r="P133" s="2" t="inlineStr">
        <is>
          <t>情景A：公司继续从中国直接出口美国；情景B：将部分工序迁至东南亚。基于现有反规避和转运证据，哪种方案的贸易风险更低，评估时必须检查哪些条件？</t>
        </is>
      </c>
      <c r="Q133" s="2" t="inlineStr">
        <is>
          <t>Evidence ID: DOC_001 Title: Final Circumvention Determinations: Crystalline Silicon Photovoltaic Cells from Cambodia, Malaysia, Thailand and Vietnam（东南亚四国光伏反规避终裁） Publisher: 美国商务部 Country/Jurisdiction: US / Federal Publication date: 2023-08-23 Status: CURRENT Topic: 反规避 Applicabi</t>
        </is>
      </c>
    </row>
    <row r="134">
      <c r="A134" s="2" t="inlineStr">
        <is>
          <t>Q027</t>
        </is>
      </c>
      <c r="B134" s="2" t="n">
        <v>3</v>
      </c>
      <c r="C134" s="2" t="inlineStr">
        <is>
          <t>CASE_003</t>
        </is>
      </c>
      <c r="D134" s="2" t="inlineStr">
        <is>
          <t>同一反规避调查中被认定“未规避”的企业（Hanwha、Jinko马来西亚、Boviet越南）</t>
        </is>
      </c>
      <c r="E134" s="2" t="inlineStr">
        <is>
          <t>反规避</t>
        </is>
      </c>
      <c r="F134" s="2" t="inlineStr">
        <is>
          <t>S</t>
        </is>
      </c>
      <c r="G134" s="2" t="n">
        <v>2</v>
      </c>
      <c r="H134" s="2" t="n">
        <v>2</v>
      </c>
      <c r="I134" s="3" t="n">
        <v>2</v>
      </c>
      <c r="J134" s="3" t="n">
        <v>2</v>
      </c>
      <c r="K134" s="2" t="inlineStr">
        <is>
          <t>“未规避”判例，直接对照</t>
        </is>
      </c>
      <c r="L134" s="2" t="inlineStr">
        <is>
          <t>美国商务部（经律所解读）</t>
        </is>
      </c>
      <c r="M134" s="2" t="inlineStr">
        <is>
          <t>Scenario Simulation Support</t>
        </is>
      </c>
      <c r="N134" s="2" t="inlineStr">
        <is>
          <t>trade_policy</t>
        </is>
      </c>
      <c r="O134" s="2" t="inlineStr">
        <is>
          <t>DOC_001; CASE_002; CASE_003; WH_002; CSIS_001</t>
        </is>
      </c>
      <c r="P134" s="2" t="inlineStr">
        <is>
          <t>情景A：公司继续从中国直接出口美国；情景B：将部分工序迁至东南亚。基于现有反规避和转运证据，哪种方案的贸易风险更低，评估时必须检查哪些条件？</t>
        </is>
      </c>
      <c r="Q134" s="2" t="inlineStr">
        <is>
          <t>Importers and consumers of solar panels should review their supply chains and make any needed adjustments prior to June 2024 to ensure importers are not sourcing from these companies. U.S. companies should also evaluate the risks posed by these determinations when assessing produ</t>
        </is>
      </c>
    </row>
    <row r="135">
      <c r="A135" s="2" t="inlineStr">
        <is>
          <t>Q027</t>
        </is>
      </c>
      <c r="B135" s="2" t="n">
        <v>4</v>
      </c>
      <c r="C135" s="2" t="inlineStr">
        <is>
          <t>WH_002</t>
        </is>
      </c>
      <c r="D135" s="2" t="inlineStr">
        <is>
          <t>The Great Transshipment Scam: Rise, Scope, and Costs（白宫非法转运报告）</t>
        </is>
      </c>
      <c r="E135" s="2" t="inlineStr">
        <is>
          <t>原产地与转运</t>
        </is>
      </c>
      <c r="F135" s="2" t="inlineStr">
        <is>
          <t>S</t>
        </is>
      </c>
      <c r="G135" s="2" t="n">
        <v>2</v>
      </c>
      <c r="H135" s="2" t="n">
        <v>2</v>
      </c>
      <c r="I135" s="3" t="n">
        <v>2</v>
      </c>
      <c r="J135" s="3" t="n">
        <v>2</v>
      </c>
      <c r="K135" s="2" t="inlineStr">
        <is>
          <t>转运执法证据，题目点名要求</t>
        </is>
      </c>
      <c r="L135" s="2" t="inlineStr">
        <is>
          <t>美国白宫贸易与制造业政策办公室</t>
        </is>
      </c>
      <c r="M135" s="2" t="inlineStr">
        <is>
          <t>Scenario Simulation Support</t>
        </is>
      </c>
      <c r="N135" s="2" t="inlineStr">
        <is>
          <t>trade_policy</t>
        </is>
      </c>
      <c r="O135" s="2" t="inlineStr">
        <is>
          <t>DOC_001; CASE_002; CASE_003; WH_002; CSIS_001</t>
        </is>
      </c>
      <c r="P135" s="2" t="inlineStr">
        <is>
          <t>情景A：公司继续从中国直接出口美国；情景B：将部分工序迁至东南亚。基于现有反规避和转运证据，哪种方案的贸易风险更低，评估时必须检查哪些条件？</t>
        </is>
      </c>
      <c r="Q135" s="2" t="inlineStr">
        <is>
          <t>Evidence ID: WH_002 Title: The Great Transshipment Scam: Rise, Scope, and Costs（白宫非法转运报告） Publisher: 美国白宫贸易与制造业政策办公室 Country/Jurisdiction: US / Federal Publication date: 2026-08-13 Status: CURRENT Topic: 原产地与转运 Applicability scope: GENERAL Related industries: 通用 Key finding: 点名40</t>
        </is>
      </c>
    </row>
    <row r="136">
      <c r="A136" s="2" t="inlineStr">
        <is>
          <t>Q027</t>
        </is>
      </c>
      <c r="B136" s="2" t="n">
        <v>5</v>
      </c>
      <c r="C136" s="2" t="inlineStr">
        <is>
          <t>TRD_003</t>
        </is>
      </c>
      <c r="D136" s="2" t="inlineStr">
        <is>
          <t>中国对越南、泰国、马来西亚出口 HS 8541/8542（中间品），2018–2025年度</t>
        </is>
      </c>
      <c r="E136" s="2" t="inlineStr">
        <is>
          <t>贸易流</t>
        </is>
      </c>
      <c r="F136" s="2" t="inlineStr">
        <is>
          <t>A+</t>
        </is>
      </c>
      <c r="G136" s="2" t="n">
        <v>1</v>
      </c>
      <c r="H136" s="2" t="n">
        <v>2</v>
      </c>
      <c r="I136" s="3" t="n">
        <v>1</v>
      </c>
      <c r="J136" s="3" t="n">
        <v>2</v>
      </c>
      <c r="K136" s="2" t="inlineStr">
        <is>
          <t>中国对东南亚中间品出口数据，可佐证‘迁移工序≠切断中间品依赖’，但本题核心是反规避/转运判例</t>
        </is>
      </c>
      <c r="L136" s="2" t="inlineStr">
        <is>
          <t>联合国商品贸易统计数据库（UN Comtrade）</t>
        </is>
      </c>
      <c r="M136" s="2" t="inlineStr">
        <is>
          <t>Scenario Simulation Support</t>
        </is>
      </c>
      <c r="N136" s="2" t="inlineStr">
        <is>
          <t>trade_policy</t>
        </is>
      </c>
      <c r="O136" s="2" t="inlineStr">
        <is>
          <t>DOC_001; CASE_002; CASE_003; WH_002; CSIS_001</t>
        </is>
      </c>
      <c r="P136" s="2" t="inlineStr">
        <is>
          <t>情景A：公司继续从中国直接出口美国；情景B：将部分工序迁至东南亚。基于现有反规避和转运证据，哪种方案的贸易风险更低，评估时必须检查哪些条件？</t>
        </is>
      </c>
      <c r="Q136" s="2" t="inlineStr">
        <is>
          <t>Evidence ID: TRD_003 Title: 中国对越南、泰国、马来西亚出口 HS 8541/8542（中间品），2018–2025年度 Publisher: 联合国商品贸易统计数据库（UN Comtrade） Country/Jurisdiction: CN / National Publication date: 持续更新 Status: CURRENT Topic: 贸易流 Applicability scope: GENERAL Related industries: ◆电子/光电 Key finding: 看东南亚产能是否依赖中国中间</t>
        </is>
      </c>
    </row>
    <row r="137">
      <c r="A137" s="2" t="inlineStr">
        <is>
          <t>Q028</t>
        </is>
      </c>
      <c r="B137" s="2" t="n">
        <v>1</v>
      </c>
      <c r="C137" s="2" t="inlineStr">
        <is>
          <t>TRD_003</t>
        </is>
      </c>
      <c r="D137" s="2" t="inlineStr">
        <is>
          <t>中国对越南、泰国、马来西亚出口 HS 8541/8542（中间品），2018–2025年度</t>
        </is>
      </c>
      <c r="E137" s="2" t="inlineStr">
        <is>
          <t>贸易流</t>
        </is>
      </c>
      <c r="F137" s="2" t="inlineStr">
        <is>
          <t>A+</t>
        </is>
      </c>
      <c r="G137" s="2" t="n">
        <v>2</v>
      </c>
      <c r="H137" s="2" t="n">
        <v>2</v>
      </c>
      <c r="I137" s="3" t="n">
        <v>2</v>
      </c>
      <c r="J137" s="3" t="n">
        <v>2</v>
      </c>
      <c r="K137" s="2" t="inlineStr">
        <is>
          <t>中间品依赖数据，直接</t>
        </is>
      </c>
      <c r="L137" s="2" t="inlineStr">
        <is>
          <t>联合国商品贸易统计数据库（UN Comtrade）</t>
        </is>
      </c>
      <c r="M137" s="2" t="inlineStr">
        <is>
          <t>Scenario Simulation Support</t>
        </is>
      </c>
      <c r="N137" s="2" t="inlineStr">
        <is>
          <t>supplier_dependency</t>
        </is>
      </c>
      <c r="O137" s="2" t="inlineStr">
        <is>
          <t>CASE_002; CASE_003; CASE_010; CSIS_001; TRD_003; WH_002</t>
        </is>
      </c>
      <c r="P137" s="2" t="inlineStr">
        <is>
          <t>情景A：东南亚工厂继续大量采购中国中间品；情景B：提高当地供应商比例。现有证据如何支持比较两种方案的供应链依赖与原产地风险？</t>
        </is>
      </c>
      <c r="Q137" s="2" t="inlineStr">
        <is>
          <t>Evidence ID: TRD_003 Title: 中国对越南、泰国、马来西亚出口 HS 8541/8542（中间品），2018–2025年度 Publisher: 联合国商品贸易统计数据库（UN Comtrade） Country/Jurisdiction: CN / National Publication date: 持续更新 Status: CURRENT Topic: 贸易流 Applicability scope: GENERAL Related industries: ◆电子/光电 Key finding: 看东南亚产能是否依赖中国中间</t>
        </is>
      </c>
    </row>
    <row r="138">
      <c r="A138" s="2" t="inlineStr">
        <is>
          <t>Q028</t>
        </is>
      </c>
      <c r="B138" s="2" t="n">
        <v>2</v>
      </c>
      <c r="C138" s="2" t="inlineStr">
        <is>
          <t>CASE_002</t>
        </is>
      </c>
      <c r="D138" s="2" t="inlineStr">
        <is>
          <t>美国对东南亚四国光伏产品反规避认定：视为中国原产并适用对华双反</t>
        </is>
      </c>
      <c r="E138" s="2" t="inlineStr">
        <is>
          <t>反规避</t>
        </is>
      </c>
      <c r="F138" s="2" t="inlineStr">
        <is>
          <t>S</t>
        </is>
      </c>
      <c r="G138" s="2" t="n">
        <v>2</v>
      </c>
      <c r="H138" s="2" t="n">
        <v>2</v>
      </c>
      <c r="I138" s="3" t="n">
        <v>2</v>
      </c>
      <c r="J138" s="3" t="n">
        <v>2</v>
      </c>
      <c r="K138" s="2" t="inlineStr">
        <is>
          <t>“认定规避”判例，直接</t>
        </is>
      </c>
      <c r="L138" s="2" t="inlineStr">
        <is>
          <t>美国商务部（经律所解读）</t>
        </is>
      </c>
      <c r="M138" s="2" t="inlineStr">
        <is>
          <t>Scenario Simulation Support</t>
        </is>
      </c>
      <c r="N138" s="2" t="inlineStr">
        <is>
          <t>supplier_dependency</t>
        </is>
      </c>
      <c r="O138" s="2" t="inlineStr">
        <is>
          <t>CASE_002; CASE_003; CASE_010; CSIS_001; TRD_003; WH_002</t>
        </is>
      </c>
      <c r="P138" s="2" t="inlineStr">
        <is>
          <t>情景A：东南亚工厂继续大量采购中国中间品；情景B：提高当地供应商比例。现有证据如何支持比较两种方案的供应链依赖与原产地风险？</t>
        </is>
      </c>
      <c r="Q138" s="2" t="inlineStr">
        <is>
          <t>Evidence ID: CASE_002 Title: 美国对东南亚四国光伏产品反规避认定：视为中国原产并适用对华双反 Publisher: 美国商务部（经律所解读） Country/Jurisdiction: 柬埔寨/马来西亚/泰国/越南 Publication date: 2023-08-18 Status: CURRENT Topic: 反规避 Applicability scope: GENERAL Related industries: 光伏 Key finding: 2022年4月立案，2023年8月终裁。使用中国组件在东南亚完成的电池和组</t>
        </is>
      </c>
    </row>
    <row r="139">
      <c r="A139" s="2" t="inlineStr">
        <is>
          <t>Q028</t>
        </is>
      </c>
      <c r="B139" s="2" t="n">
        <v>3</v>
      </c>
      <c r="C139" s="2" t="inlineStr">
        <is>
          <t>WH_002</t>
        </is>
      </c>
      <c r="D139" s="2" t="inlineStr">
        <is>
          <t>The Great Transshipment Scam: Rise, Scope, and Costs（白宫非法转运报告）</t>
        </is>
      </c>
      <c r="E139" s="2" t="inlineStr">
        <is>
          <t>原产地与转运</t>
        </is>
      </c>
      <c r="F139" s="2" t="inlineStr">
        <is>
          <t>S</t>
        </is>
      </c>
      <c r="G139" s="2" t="n">
        <v>2</v>
      </c>
      <c r="H139" s="2" t="n">
        <v>2</v>
      </c>
      <c r="I139" s="3" t="n">
        <v>2</v>
      </c>
      <c r="J139" s="3" t="n">
        <v>2</v>
      </c>
      <c r="K139" s="2" t="inlineStr">
        <is>
          <t>转运与原产地风险，直接</t>
        </is>
      </c>
      <c r="L139" s="2" t="inlineStr">
        <is>
          <t>美国白宫贸易与制造业政策办公室</t>
        </is>
      </c>
      <c r="M139" s="2" t="inlineStr">
        <is>
          <t>Scenario Simulation Support</t>
        </is>
      </c>
      <c r="N139" s="2" t="inlineStr">
        <is>
          <t>supplier_dependency</t>
        </is>
      </c>
      <c r="O139" s="2" t="inlineStr">
        <is>
          <t>CASE_002; CASE_003; CASE_010; CSIS_001; TRD_003; WH_002</t>
        </is>
      </c>
      <c r="P139" s="2" t="inlineStr">
        <is>
          <t>情景A：东南亚工厂继续大量采购中国中间品；情景B：提高当地供应商比例。现有证据如何支持比较两种方案的供应链依赖与原产地风险？</t>
        </is>
      </c>
      <c r="Q139" s="2" t="inlineStr">
        <is>
          <t>Evidence ID: WH_002 Title: The Great Transshipment Scam: Rise, Scope, and Costs（白宫非法转运报告） Publisher: 美国白宫贸易与制造业政策办公室 Country/Jurisdiction: US / Federal Publication date: 2026-08-13 Status: CURRENT Topic: 原产地与转运 Applicability scope: GENERAL Related industries: 通用 Key finding: 点名40</t>
        </is>
      </c>
    </row>
    <row r="140">
      <c r="A140" s="2" t="inlineStr">
        <is>
          <t>Q028</t>
        </is>
      </c>
      <c r="B140" s="2" t="n">
        <v>4</v>
      </c>
      <c r="C140" s="2" t="inlineStr">
        <is>
          <t>CASE_003</t>
        </is>
      </c>
      <c r="D140" s="2" t="inlineStr">
        <is>
          <t>同一反规避调查中被认定“未规避”的企业（Hanwha、Jinko马来西亚、Boviet越南）</t>
        </is>
      </c>
      <c r="E140" s="2" t="inlineStr">
        <is>
          <t>反规避</t>
        </is>
      </c>
      <c r="F140" s="2" t="inlineStr">
        <is>
          <t>S</t>
        </is>
      </c>
      <c r="G140" s="2" t="n">
        <v>2</v>
      </c>
      <c r="H140" s="2" t="n">
        <v>2</v>
      </c>
      <c r="I140" s="3" t="n">
        <v>2</v>
      </c>
      <c r="J140" s="3" t="n">
        <v>2</v>
      </c>
      <c r="K140" s="2" t="inlineStr">
        <is>
          <t>反规避「未规避」判例，直接支持「提高当地供应商比例」的可行性与原产地判断</t>
        </is>
      </c>
      <c r="L140" s="2" t="inlineStr">
        <is>
          <t>美国商务部（经律所解读）</t>
        </is>
      </c>
      <c r="M140" s="2" t="inlineStr">
        <is>
          <t>Scenario Simulation Support</t>
        </is>
      </c>
      <c r="N140" s="2" t="inlineStr">
        <is>
          <t>supplier_dependency</t>
        </is>
      </c>
      <c r="O140" s="2" t="inlineStr">
        <is>
          <t>CASE_002; CASE_003; CASE_010; CSIS_001; TRD_003; WH_002</t>
        </is>
      </c>
      <c r="P140" s="2" t="inlineStr">
        <is>
          <t>情景A：东南亚工厂继续大量采购中国中间品；情景B：提高当地供应商比例。现有证据如何支持比较两种方案的供应链依赖与原产地风险？</t>
        </is>
      </c>
      <c r="Q140" s="2" t="inlineStr">
        <is>
          <t>Importers and consumers of solar panels should review their supply chains and make any needed adjustments prior to June 2024 to ensure importers are not sourcing from these companies. U.S. companies should also evaluate the risks posed by these determinations when assessing produ</t>
        </is>
      </c>
    </row>
    <row r="141">
      <c r="A141" s="2" t="inlineStr">
        <is>
          <t>Q028</t>
        </is>
      </c>
      <c r="B141" s="2" t="n">
        <v>5</v>
      </c>
      <c r="C141" s="2" t="inlineStr">
        <is>
          <t>CASE_010</t>
        </is>
      </c>
      <c r="D141" s="2" t="inlineStr">
        <is>
          <t>白宫点名东南亚为非法转运高风险地区，并推出AI执法工具</t>
        </is>
      </c>
      <c r="E141" s="2" t="inlineStr">
        <is>
          <t>原产地与转运</t>
        </is>
      </c>
      <c r="F141" s="2" t="inlineStr">
        <is>
          <t>S</t>
        </is>
      </c>
      <c r="G141" s="2" t="n">
        <v>2</v>
      </c>
      <c r="H141" s="2" t="n">
        <v>2</v>
      </c>
      <c r="I141" s="3" t="n">
        <v>2</v>
      </c>
      <c r="J141" s="3" t="n">
        <v>2</v>
      </c>
      <c r="K141" s="2" t="inlineStr">
        <is>
          <t>本题 expected 证据：白宫点名东南亚为转运高风险并推出 AI 执法工具</t>
        </is>
      </c>
      <c r="L141" s="2" t="inlineStr">
        <is>
          <t>美国白宫（经律所解读）</t>
        </is>
      </c>
      <c r="M141" s="2" t="inlineStr">
        <is>
          <t>Scenario Simulation Support</t>
        </is>
      </c>
      <c r="N141" s="2" t="inlineStr">
        <is>
          <t>supplier_dependency</t>
        </is>
      </c>
      <c r="O141" s="2" t="inlineStr">
        <is>
          <t>CASE_002; CASE_003; CASE_010; CSIS_001; TRD_003; WH_002</t>
        </is>
      </c>
      <c r="P141" s="2" t="inlineStr">
        <is>
          <t>情景A：东南亚工厂继续大量采购中国中间品；情景B：提高当地供应商比例。现有证据如何支持比较两种方案的供应链依赖与原产地风险？</t>
        </is>
      </c>
      <c r="Q141" s="2" t="inlineStr">
        <is>
          <t>进口商应预期，如果新关税措施后采购模式发生变化，来自高关税国家的货物经由中介管辖区转运，或声称的原产国缺乏有意义生产证据，原产地主张将受到更严格的审查。 这些事实模式可能引发信息请求、货物搁置、审计查询、EAPA指控或罚款调查。 新的检测工具和执法能力 CBP及其他机构越来越多地拥有先进的数据工具，使转运更容易被识别。 报告描述了一个人工智能驱动的执法平台“侦探边境”，集成了进口数据分析、供应链地图、路由历史、所有权和关联分析、贸易流异常、产能比较以及计算机视觉，以识别高风险货物和潜在的虚假原产地索赔。 CBP的执法行动已经加快。 报告指出，自2025年</t>
        </is>
      </c>
    </row>
    <row r="142">
      <c r="A142" s="2" t="inlineStr">
        <is>
          <t>Q029</t>
        </is>
      </c>
      <c r="B142" s="2" t="n">
        <v>1</v>
      </c>
      <c r="C142" s="2" t="inlineStr">
        <is>
          <t>IMF_001</t>
        </is>
      </c>
      <c r="D142" s="2" t="inlineStr">
        <is>
          <t>World Economic Outlook, April 2023, Chapter 4: Geoeconomic Fragmentation and Foreign Direct Investment</t>
        </is>
      </c>
      <c r="E142" s="2" t="inlineStr">
        <is>
          <t>对外投资</t>
        </is>
      </c>
      <c r="F142" s="2" t="inlineStr">
        <is>
          <t>A+</t>
        </is>
      </c>
      <c r="G142" s="2" t="n">
        <v>2</v>
      </c>
      <c r="H142" s="2" t="n">
        <v>2</v>
      </c>
      <c r="I142" s="3" t="n">
        <v>2</v>
      </c>
      <c r="J142" s="3" t="n">
        <v>2</v>
      </c>
      <c r="K142" s="2" t="inlineStr">
        <is>
          <t>投资与碎片化框架，直接</t>
        </is>
      </c>
      <c r="L142" s="2" t="inlineStr">
        <is>
          <t>国际货币基金组织（IMF）</t>
        </is>
      </c>
      <c r="M142" s="2" t="inlineStr">
        <is>
          <t>Scenario Simulation Support</t>
        </is>
      </c>
      <c r="N142" s="2" t="inlineStr">
        <is>
          <t>investment_policy</t>
        </is>
      </c>
      <c r="O142" s="2" t="inlineStr">
        <is>
          <t>CNGOV_001; UNCTAD_001; IMF_001; KPMG_001; MCK_001</t>
        </is>
      </c>
      <c r="P142" s="2" t="inlineStr">
        <is>
          <t>情景A：立即启动海外建厂；情景B：延后投资等待贸易政策更清晰。管理层应参考哪些投资政策、全球投资趋势和企业供应链调查证据？</t>
        </is>
      </c>
      <c r="Q142" s="2" t="inlineStr">
        <is>
          <t>Evidence ID: IMF_001 Title: World Economic Outlook, April 2023, Chapter 4: Geoeconomic Fragmentation and Foreign Direct Investment Publisher: 国际货币基金组织（IMF） Country/Jurisdiction: 全球 Publication date: 2023-04 Status: CURRENT Topic: 对外投资 Applicability scope: GENERAL Related industri</t>
        </is>
      </c>
    </row>
    <row r="143">
      <c r="A143" s="2" t="inlineStr">
        <is>
          <t>Q029</t>
        </is>
      </c>
      <c r="B143" s="2" t="n">
        <v>2</v>
      </c>
      <c r="C143" s="2" t="inlineStr">
        <is>
          <t>WTO_002</t>
        </is>
      </c>
      <c r="D143" s="2" t="inlineStr">
        <is>
          <t>Trade Policy Review: Report by the Secretariat — India（WT/TPR/S/403）印度第七次贸易政策审议秘书处报告</t>
        </is>
      </c>
      <c r="E143" s="2" t="inlineStr">
        <is>
          <t>贸易流</t>
        </is>
      </c>
      <c r="F143" s="2" t="inlineStr">
        <is>
          <t>A+</t>
        </is>
      </c>
      <c r="G143" s="2" t="n">
        <v>0</v>
      </c>
      <c r="H143" s="2" t="n">
        <v>2</v>
      </c>
      <c r="I143" s="3" t="n">
        <v>1</v>
      </c>
      <c r="J143" s="3" t="n">
        <v>2</v>
      </c>
      <c r="K143" s="2" t="inlineStr">
        <is>
          <t>WTO 对印 TPR 属东道国贸易政策环境证据，可用作建厂决策背景，但非全球投资趋势或企业供应链调查 ｜ 人工判定与Auto(0)不同，请复核</t>
        </is>
      </c>
      <c r="L143" s="2" t="inlineStr">
        <is>
          <t>世界贸易组织（WTO）</t>
        </is>
      </c>
      <c r="M143" s="2" t="inlineStr">
        <is>
          <t>Scenario Simulation Support</t>
        </is>
      </c>
      <c r="N143" s="2" t="inlineStr">
        <is>
          <t>investment_policy</t>
        </is>
      </c>
      <c r="O143" s="2" t="inlineStr">
        <is>
          <t>CNGOV_001; UNCTAD_001; IMF_001; KPMG_001; MCK_001</t>
        </is>
      </c>
      <c r="P143" s="2" t="inlineStr">
        <is>
          <t>情景A：立即启动海外建厂；情景B：延后投资等待贸易政策更清晰。管理层应参考哪些投资政策、全球投资趋势和企业供应链调查证据？</t>
        </is>
      </c>
      <c r="Q143" s="2" t="inlineStr">
        <is>
          <t>Evidence ID: WTO_002 Title: Trade Policy Review: Report by the Secretariat — India（WT/TPR/S/403）印度第七次贸易政策审议秘书处报告 Publisher: 世界贸易组织（WTO） Country/Jurisdiction: IN / National Publication date: 2020-11-25 Status: CURRENT Topic: 贸易流 Applicability scope: GENERAL Related industries: 通用</t>
        </is>
      </c>
    </row>
    <row r="144">
      <c r="A144" s="2" t="inlineStr">
        <is>
          <t>Q029</t>
        </is>
      </c>
      <c r="B144" s="2" t="n">
        <v>3</v>
      </c>
      <c r="C144" s="2" t="inlineStr">
        <is>
          <t>WTO_001</t>
        </is>
      </c>
      <c r="D144" s="2" t="inlineStr">
        <is>
          <t>Global Trade Outlook and Statistics（2026年3月版）</t>
        </is>
      </c>
      <c r="E144" s="2" t="inlineStr">
        <is>
          <t>贸易流</t>
        </is>
      </c>
      <c r="F144" s="2" t="inlineStr">
        <is>
          <t>A+</t>
        </is>
      </c>
      <c r="G144" s="2" t="n">
        <v>0</v>
      </c>
      <c r="H144" s="2" t="n">
        <v>2</v>
      </c>
      <c r="I144" s="3" t="n">
        <v>1</v>
      </c>
      <c r="J144" s="3" t="n">
        <v>2</v>
      </c>
      <c r="K144" s="2" t="inlineStr">
        <is>
          <t>全球贸易展望，非投资政策/调查证据 ｜ 人工判定与Auto(0)不同，请复核 ｜ 人工判定与Auto(0)不同，请复核</t>
        </is>
      </c>
      <c r="L144" s="2" t="inlineStr">
        <is>
          <t>世界贸易组织（WTO）</t>
        </is>
      </c>
      <c r="M144" s="2" t="inlineStr">
        <is>
          <t>Scenario Simulation Support</t>
        </is>
      </c>
      <c r="N144" s="2" t="inlineStr">
        <is>
          <t>investment_policy</t>
        </is>
      </c>
      <c r="O144" s="2" t="inlineStr">
        <is>
          <t>CNGOV_001; UNCTAD_001; IMF_001; KPMG_001; MCK_001</t>
        </is>
      </c>
      <c r="P144" s="2" t="inlineStr">
        <is>
          <t>情景A：立即启动海外建厂；情景B：延后投资等待贸易政策更清晰。管理层应参考哪些投资政策、全球投资趋势和企业供应链调查证据？</t>
        </is>
      </c>
      <c r="Q144" s="2" t="inlineStr">
        <is>
          <t>Evidence ID: WTO_001 Title: Global Trade Outlook and Statistics（2026年3月版） Publisher: 世界贸易组织（WTO） Country/Jurisdiction: 全球 Publication date: 2026-03 Status: CURRENT Topic: 贸易流 Applicability scope: GENERAL Related industries: 通用 Key finding: 基准情景下2026年货物贸易量增速由2025年的4.6%放缓至1.9%。 Glo</t>
        </is>
      </c>
    </row>
    <row r="145">
      <c r="A145" s="2" t="inlineStr">
        <is>
          <t>Q029</t>
        </is>
      </c>
      <c r="B145" s="2" t="n">
        <v>4</v>
      </c>
      <c r="C145" s="2" t="inlineStr">
        <is>
          <t>CNGOV_001</t>
        </is>
      </c>
      <c r="D145" s="2" t="inlineStr">
        <is>
          <t>国务院关于对外投资的规定（国务院令第837号）</t>
        </is>
      </c>
      <c r="E145" s="2" t="inlineStr">
        <is>
          <t>对外投资</t>
        </is>
      </c>
      <c r="F145" s="2" t="inlineStr">
        <is>
          <t>S</t>
        </is>
      </c>
      <c r="G145" s="2" t="n">
        <v>2</v>
      </c>
      <c r="H145" s="2" t="n">
        <v>2</v>
      </c>
      <c r="I145" s="3" t="n">
        <v>2</v>
      </c>
      <c r="J145" s="3" t="n">
        <v>2</v>
      </c>
      <c r="K145" s="2" t="inlineStr">
        <is>
          <t>中国对外投资规则，直接</t>
        </is>
      </c>
      <c r="L145" s="2" t="inlineStr">
        <is>
          <t>中华人民共和国国务院</t>
        </is>
      </c>
      <c r="M145" s="2" t="inlineStr">
        <is>
          <t>Scenario Simulation Support</t>
        </is>
      </c>
      <c r="N145" s="2" t="inlineStr">
        <is>
          <t>investment_policy</t>
        </is>
      </c>
      <c r="O145" s="2" t="inlineStr">
        <is>
          <t>CNGOV_001; UNCTAD_001; IMF_001; KPMG_001; MCK_001</t>
        </is>
      </c>
      <c r="P145" s="2" t="inlineStr">
        <is>
          <t>情景A：立即启动海外建厂；情景B：延后投资等待贸易政策更清晰。管理层应参考哪些投资政策、全球投资趋势和企业供应链调查证据？</t>
        </is>
      </c>
      <c r="Q145" s="2" t="inlineStr">
        <is>
          <t>第六条第六条 国家健全海外综合服务体系，促进贸易投资⼀体化，完善公共平台与服务，统筹外事、法律、财税、⾦融、经贸、物流、出境⼊境、海关、贸促等领域服务资源，为投资者提供服务保障。 省级以上⼈⺠政府及其有关部⻔提升公共服务能⼒和⽔平，为投资者提供法律法规、政策措施、投资指南、知识产权、⻛险防范应对、权益保护等⽅⾯的公共产品和服务。 第七条第七条 ⽀持咨询评估、法律服务、会计审计、信⽤评级、调解仲裁、知识产权等专业服务机构拓展海外服务⽹络，提⾼国际化服务能⼒和⽔平，为投资者及其对外投资提供⾼质量专业服务。 有关专业服务机构应当遵循诚实守信、勤勉尽责、独⽴客观</t>
        </is>
      </c>
    </row>
    <row r="146">
      <c r="A146" s="2" t="inlineStr">
        <is>
          <t>Q029</t>
        </is>
      </c>
      <c r="B146" s="2" t="n">
        <v>5</v>
      </c>
      <c r="C146" s="2" t="inlineStr">
        <is>
          <t>UNCTAD_001</t>
        </is>
      </c>
      <c r="D146" s="2" t="inlineStr">
        <is>
          <t>World Investment Report 2026: International Investment in a Turbulent Era</t>
        </is>
      </c>
      <c r="E146" s="2" t="inlineStr">
        <is>
          <t>对外投资</t>
        </is>
      </c>
      <c r="F146" s="2" t="inlineStr">
        <is>
          <t>A+</t>
        </is>
      </c>
      <c r="G146" s="2" t="n">
        <v>2</v>
      </c>
      <c r="H146" s="2" t="n">
        <v>2</v>
      </c>
      <c r="I146" s="3" t="n">
        <v>2</v>
      </c>
      <c r="J146" s="3" t="n">
        <v>2</v>
      </c>
      <c r="K146" s="2" t="inlineStr">
        <is>
          <t>全球投资趋势，直接</t>
        </is>
      </c>
      <c r="L146" s="2" t="inlineStr">
        <is>
          <t>联合国贸易和发展会议（UNCTAD）</t>
        </is>
      </c>
      <c r="M146" s="2" t="inlineStr">
        <is>
          <t>Scenario Simulation Support</t>
        </is>
      </c>
      <c r="N146" s="2" t="inlineStr">
        <is>
          <t>investment_policy</t>
        </is>
      </c>
      <c r="O146" s="2" t="inlineStr">
        <is>
          <t>CNGOV_001; UNCTAD_001; IMF_001; KPMG_001; MCK_001</t>
        </is>
      </c>
      <c r="P146" s="2" t="inlineStr">
        <is>
          <t>情景A：立即启动海外建厂；情景B：延后投资等待贸易政策更清晰。管理层应参考哪些投资政策、全球投资趋势和企业供应链调查证据？</t>
        </is>
      </c>
      <c r="Q146" s="2" t="inlineStr">
        <is>
          <t>Evidence ID: UNCTAD_001 Title: World Investment Report 2026: International Investment in a Turbulent Era Publisher: 联合国贸易和发展会议（UNCTAD） Country/Jurisdiction: 全球 Publication date: 2026-07-07 Status: CURRENT Topic: 对外投资 Applicability scope: GENERAL Related industries: 通用 Key finding</t>
        </is>
      </c>
    </row>
    <row r="147">
      <c r="A147" s="2" t="inlineStr">
        <is>
          <t>Q030</t>
        </is>
      </c>
      <c r="B147" s="2" t="n">
        <v>1</v>
      </c>
      <c r="C147" s="2" t="inlineStr">
        <is>
          <t>CASE_010</t>
        </is>
      </c>
      <c r="D147" s="2" t="inlineStr">
        <is>
          <t>白宫点名东南亚为非法转运高风险地区，并推出AI执法工具</t>
        </is>
      </c>
      <c r="E147" s="2" t="inlineStr">
        <is>
          <t>原产地与转运</t>
        </is>
      </c>
      <c r="F147" s="2" t="inlineStr">
        <is>
          <t>S</t>
        </is>
      </c>
      <c r="G147" s="2" t="n">
        <v>2</v>
      </c>
      <c r="H147" s="2" t="n">
        <v>2</v>
      </c>
      <c r="I147" s="3" t="n">
        <v>2</v>
      </c>
      <c r="J147" s="3" t="n">
        <v>2</v>
      </c>
      <c r="K147" s="2" t="inlineStr">
        <is>
          <t>准入风险侧，直接</t>
        </is>
      </c>
      <c r="L147" s="2" t="inlineStr">
        <is>
          <t>美国白宫（经律所解读）</t>
        </is>
      </c>
      <c r="M147" s="2" t="inlineStr">
        <is>
          <t>Scenario Simulation Support</t>
        </is>
      </c>
      <c r="N147" s="2" t="inlineStr">
        <is>
          <t>supply_chain</t>
        </is>
      </c>
      <c r="O147" s="2" t="inlineStr">
        <is>
          <t>CASE_004; CASE_005; CASE_006; CASE_007; WH_002; CASE_010; TRD_001</t>
        </is>
      </c>
      <c r="P147" s="2" t="inlineStr">
        <is>
          <t>情景A：把泰国作为单一海外生产中心；情景B：在泰国和马来西亚分散布局。基于现有企业案例、美国转运执法和贸易数据，应该如何比较两种方案的集中度与市场准入风险？</t>
        </is>
      </c>
      <c r="Q147" s="2" t="inlineStr">
        <is>
          <t>专业领域 税务 全球贸易 2026年8月13日 转运执法加紧 白宫报告《 大转运骗局 》将非法转运列为主要的关税规避风险，估计年流动额在400亿美元至3030亿美元之间，并宣布扩大使用分析和人工智能工具以识别虚假原产地索赔。 结合行政命令14411收紧的进口商问责要求，依赖供应商声明却未能证明实质性转变发生地点的进口商面临更多关税、处罚、拘留、EAPA行动及可能的刑事执法举报风险。 什么是转运？ 转运通常指通过中介国转运货物，以隐藏其真实产地并获得更优惠的关税待遇。 合法的供应链可能涉及多个国家，但当货物仅被重新标记、重新包装、重新开票、进行轻微加工，或</t>
        </is>
      </c>
    </row>
    <row r="148">
      <c r="A148" s="2" t="inlineStr">
        <is>
          <t>Q030</t>
        </is>
      </c>
      <c r="B148" s="2" t="n">
        <v>2</v>
      </c>
      <c r="C148" s="2" t="inlineStr">
        <is>
          <t>WH_002</t>
        </is>
      </c>
      <c r="D148" s="2" t="inlineStr">
        <is>
          <t>The Great Transshipment Scam: Rise, Scope, and Costs（白宫非法转运报告）</t>
        </is>
      </c>
      <c r="E148" s="2" t="inlineStr">
        <is>
          <t>原产地与转运</t>
        </is>
      </c>
      <c r="F148" s="2" t="inlineStr">
        <is>
          <t>S</t>
        </is>
      </c>
      <c r="G148" s="2" t="n">
        <v>2</v>
      </c>
      <c r="H148" s="2" t="n">
        <v>2</v>
      </c>
      <c r="I148" s="3" t="n">
        <v>2</v>
      </c>
      <c r="J148" s="3" t="n">
        <v>2</v>
      </c>
      <c r="K148" s="2" t="inlineStr">
        <is>
          <t>准入风险侧，直接</t>
        </is>
      </c>
      <c r="L148" s="2" t="inlineStr">
        <is>
          <t>美国白宫贸易与制造业政策办公室</t>
        </is>
      </c>
      <c r="M148" s="2" t="inlineStr">
        <is>
          <t>Scenario Simulation Support</t>
        </is>
      </c>
      <c r="N148" s="2" t="inlineStr">
        <is>
          <t>supply_chain</t>
        </is>
      </c>
      <c r="O148" s="2" t="inlineStr">
        <is>
          <t>CASE_004; CASE_005; CASE_006; CASE_007; WH_002; CASE_010; TRD_001</t>
        </is>
      </c>
      <c r="P148" s="2" t="inlineStr">
        <is>
          <t>情景A：把泰国作为单一海外生产中心；情景B：在泰国和马来西亚分散布局。基于现有企业案例、美国转运执法和贸易数据，应该如何比较两种方案的集中度与市场准入风险？</t>
        </is>
      </c>
      <c r="Q148" s="2" t="inlineStr">
        <is>
          <t>Evidence ID: WH_002 Title: The Great Transshipment Scam: Rise, Scope, and Costs（白宫非法转运报告） Publisher: 美国白宫贸易与制造业政策办公室 Country/Jurisdiction: US / Federal Publication date: 2026-08-13 Status: CURRENT Topic: 原产地与转运 Applicability scope: GENERAL Related industries: 通用 Key finding: 点名40</t>
        </is>
      </c>
    </row>
    <row r="149">
      <c r="A149" s="2" t="inlineStr">
        <is>
          <t>Q030</t>
        </is>
      </c>
      <c r="B149" s="2" t="n">
        <v>3</v>
      </c>
      <c r="C149" s="2" t="inlineStr">
        <is>
          <t>WH_001</t>
        </is>
      </c>
      <c r="D149" s="2" t="inlineStr">
        <is>
          <t>Executive Order 14411: Strengthening Customs Enforcement（加强海关执法行政令）</t>
        </is>
      </c>
      <c r="E149" s="2" t="inlineStr">
        <is>
          <t>原产地与转运</t>
        </is>
      </c>
      <c r="F149" s="2" t="inlineStr">
        <is>
          <t>S</t>
        </is>
      </c>
      <c r="G149" s="2" t="n">
        <v>1</v>
      </c>
      <c r="H149" s="2" t="n">
        <v>2</v>
      </c>
      <c r="I149" s="3" t="n">
        <v>2</v>
      </c>
      <c r="J149" s="3" t="n">
        <v>2</v>
      </c>
      <c r="K149" s="2" t="inlineStr">
        <is>
          <t>海关执法，对应准入风险 ｜ 人工判定与Auto(1)不同，请复核 ｜ 人工判定与Auto(1)不同，请复核</t>
        </is>
      </c>
      <c r="L149" s="2" t="inlineStr">
        <is>
          <t>美国白宫</t>
        </is>
      </c>
      <c r="M149" s="2" t="inlineStr">
        <is>
          <t>Scenario Simulation Support</t>
        </is>
      </c>
      <c r="N149" s="2" t="inlineStr">
        <is>
          <t>supply_chain</t>
        </is>
      </c>
      <c r="O149" s="2" t="inlineStr">
        <is>
          <t>CASE_004; CASE_005; CASE_006; CASE_007; WH_002; CASE_010; TRD_001</t>
        </is>
      </c>
      <c r="P149" s="2" t="inlineStr">
        <is>
          <t>情景A：把泰国作为单一海外生产中心；情景B：在泰国和马来西亚分散布局。基于现有企业案例、美国转运执法和贸易数据，应该如何比较两种方案的集中度与市场准入风险？</t>
        </is>
      </c>
      <c r="Q149" s="2" t="inlineStr">
        <is>
          <t>Evidence ID: WH_001 Title: Executive Order 14411: Strengthening Customs Enforcement（加强海关执法行政令） Publisher: 美国白宫 Country/Jurisdiction: US / Federal Publication date: 2026-06-03 Status: CURRENT Topic: 原产地与转运 Applicability scope: GENERAL Related industries: 通用 Key finding: 收紧进口商资质、保证</t>
        </is>
      </c>
    </row>
    <row r="150">
      <c r="A150" s="2" t="inlineStr">
        <is>
          <t>Q030</t>
        </is>
      </c>
      <c r="B150" s="2" t="n">
        <v>4</v>
      </c>
      <c r="C150" s="2" t="inlineStr">
        <is>
          <t>CASE_002</t>
        </is>
      </c>
      <c r="D150" s="2" t="inlineStr">
        <is>
          <t>美国对东南亚四国光伏产品反规避认定：视为中国原产并适用对华双反</t>
        </is>
      </c>
      <c r="E150" s="2" t="inlineStr">
        <is>
          <t>反规避</t>
        </is>
      </c>
      <c r="F150" s="2" t="inlineStr">
        <is>
          <t>S</t>
        </is>
      </c>
      <c r="G150" s="2" t="n">
        <v>0</v>
      </c>
      <c r="H150" s="2" t="n">
        <v>2</v>
      </c>
      <c r="I150" s="3" t="n">
        <v>1</v>
      </c>
      <c r="J150" s="3" t="n">
        <v>2</v>
      </c>
      <c r="K150" s="2" t="inlineStr">
        <is>
          <t>东南亚四国光伏反规避认定（含马来西亚）可作跨行业对照，说明马来西亚原产地同样受美方审查，但非电池/EV 案例 ｜ 人工判定与Auto(0)不同，请复核</t>
        </is>
      </c>
      <c r="L150" s="2" t="inlineStr">
        <is>
          <t>美国商务部（经律所解读）</t>
        </is>
      </c>
      <c r="M150" s="2" t="inlineStr">
        <is>
          <t>Scenario Simulation Support</t>
        </is>
      </c>
      <c r="N150" s="2" t="inlineStr">
        <is>
          <t>supply_chain</t>
        </is>
      </c>
      <c r="O150" s="2" t="inlineStr">
        <is>
          <t>CASE_004; CASE_005; CASE_006; CASE_007; WH_002; CASE_010; TRD_001</t>
        </is>
      </c>
      <c r="P150" s="2" t="inlineStr">
        <is>
          <t>情景A：把泰国作为单一海外生产中心；情景B：在泰国和马来西亚分散布局。基于现有企业案例、美国转运执法和贸易数据，应该如何比较两种方案的集中度与市场准入风险？</t>
        </is>
      </c>
      <c r="Q150" s="2" t="inlineStr">
        <is>
          <t>Evidence ID: CASE_002 Title: 美国对东南亚四国光伏产品反规避认定：视为中国原产并适用对华双反 Publisher: 美国商务部（经律所解读） Country/Jurisdiction: 柬埔寨/马来西亚/泰国/越南 Publication date: 2023-08-18 Status: CURRENT Topic: 反规避 Applicability scope: GENERAL Related industries: 光伏 Key finding: 2022年4月立案，2023年8月终裁。使用中国组件在东南亚完成的电池和组</t>
        </is>
      </c>
    </row>
    <row r="151">
      <c r="A151" s="2" t="inlineStr">
        <is>
          <t>Q030</t>
        </is>
      </c>
      <c r="B151" s="2" t="n">
        <v>5</v>
      </c>
      <c r="C151" s="2" t="inlineStr">
        <is>
          <t>CASE_007</t>
        </is>
      </c>
      <c r="D151" s="2" t="inlineStr">
        <is>
          <t>华工正源：马来西亚工厂，公开表述为规避地缘风险</t>
        </is>
      </c>
      <c r="E151" s="2" t="inlineStr">
        <is>
          <t>供应链布局</t>
        </is>
      </c>
      <c r="F151" s="2" t="inlineStr">
        <is>
          <t>B+</t>
        </is>
      </c>
      <c r="G151" s="2" t="n">
        <v>2</v>
      </c>
      <c r="H151" s="2" t="n">
        <v>1</v>
      </c>
      <c r="I151" s="3" t="n">
        <v>2</v>
      </c>
      <c r="J151" s="3" t="n">
        <v>1</v>
      </c>
      <c r="K151" s="2" t="inlineStr">
        <is>
          <t>马来西亚工厂案例，直接支撑泰马分散布局情景</t>
        </is>
      </c>
      <c r="L151" s="2" t="inlineStr">
        <is>
          <t>C114通信网</t>
        </is>
      </c>
      <c r="M151" s="2" t="inlineStr">
        <is>
          <t>Scenario Simulation Support</t>
        </is>
      </c>
      <c r="N151" s="2" t="inlineStr">
        <is>
          <t>supply_chain</t>
        </is>
      </c>
      <c r="O151" s="2" t="inlineStr">
        <is>
          <t>CASE_004; CASE_005; CASE_006; CASE_007; WH_002; CASE_010; TRD_001</t>
        </is>
      </c>
      <c r="P151" s="2" t="inlineStr">
        <is>
          <t>情景A：把泰国作为单一海外生产中心；情景B：在泰国和马来西亚分散布局。基于现有企业案例、美国转运执法和贸易数据，应该如何比较两种方案的集中度与市场准入风险？</t>
        </is>
      </c>
      <c r="Q151" s="2" t="inlineStr">
        <is>
          <t>天孚通信：光引擎垄断者 天孚通信是全球光引擎市场龙头，占据60%以上份额，产品价值占CPO模块的30%-40%。 2025年预计归母净利润18. 81亿-21. 50亿元，净利率高达37. 40%，盈利质量行业领先。 公司1. 6T光引擎实现规模化量产，布局CPO无源器件，深度绑定中际旭创、新易盛等头部厂商。 作为“卖铲人”定位，天孚通信在技术迭代中具备更强的抗风险能力。 三、第三梯队 7. 剑桥科技 剑桥科技2025年预计归母净利润2. 52亿-2. 78亿元，同比增长51%-67%。 800G LPO光模块通过客户验证，1. 6T产品进入Meta供应</t>
        </is>
      </c>
    </row>
    <row r="152">
      <c r="A152" s="2" t="inlineStr">
        <is>
          <t>Q031</t>
        </is>
      </c>
      <c r="B152" s="2" t="n">
        <v>1</v>
      </c>
      <c r="C152" s="2" t="inlineStr">
        <is>
          <t>TSLA_001</t>
        </is>
      </c>
      <c r="D152" s="2" t="inlineStr">
        <is>
          <t>Tesla, Inc. Form 10-K（fiscal year ended December 31, 2025）特斯拉2025财年年报</t>
        </is>
      </c>
      <c r="E152" s="2" t="inlineStr">
        <is>
          <t>供应链布局</t>
        </is>
      </c>
      <c r="F152" s="2" t="inlineStr">
        <is>
          <t>S</t>
        </is>
      </c>
      <c r="G152" s="2" t="n">
        <v>2</v>
      </c>
      <c r="H152" s="2" t="n">
        <v>2</v>
      </c>
      <c r="I152" s="3" t="n">
        <v>2</v>
      </c>
      <c r="J152" s="3" t="n">
        <v>2</v>
      </c>
      <c r="K152" s="2" t="inlineStr">
        <is>
          <t>本题 expected 证据：特斯拉 10-K 原文披露上海/柏林/美国制造布局与关税影响</t>
        </is>
      </c>
      <c r="L152" s="2" t="inlineStr">
        <is>
          <t>特斯拉公司（Tesla, Inc.，SEC EDGAR）</t>
        </is>
      </c>
      <c r="M152" s="2" t="inlineStr">
        <is>
          <t>Company Intelligence</t>
        </is>
      </c>
      <c r="N152" s="2" t="inlineStr">
        <is>
          <t>supply_chain</t>
        </is>
      </c>
      <c r="O152" s="2" t="inlineStr">
        <is>
          <t>TSLA_001</t>
        </is>
      </c>
      <c r="P152" s="2" t="inlineStr">
        <is>
          <t>我们在评估把电池与整车产能分散到中国以外，是否真能降低关税与物流成本。特斯拉最新年报对其全球制造布局与关税影响的原始披露说明了什么？</t>
        </is>
      </c>
      <c r="Q152" s="2" t="inlineStr">
        <is>
          <t>Evidence ID: TSLA_001 Title: Tesla, Inc. Form 10-K（fiscal year ended December 31, 2025）特斯拉2025财年年报 Publisher: 特斯拉公司（Tesla, Inc.，SEC EDGAR） Country/Jurisdiction: US/CN/DE / Federal (SEC registrant) Publication date: 2026-01-29 Status: CURRENT Topic: 供应链布局 Applicability scope: GENE</t>
        </is>
      </c>
    </row>
    <row r="153">
      <c r="A153" s="2" t="inlineStr">
        <is>
          <t>Q031</t>
        </is>
      </c>
      <c r="B153" s="2" t="n">
        <v>2</v>
      </c>
      <c r="C153" s="2" t="inlineStr">
        <is>
          <t>EU_003</t>
        </is>
      </c>
      <c r="D153" s="2" t="inlineStr">
        <is>
          <t>Commission Implementing Regulation (EU) 2024/2754 imposing a definitive countervailing duty on imports of new battery electric vehicles originating in China（对华纯电动车最终反补贴税）</t>
        </is>
      </c>
      <c r="E153" s="2" t="inlineStr">
        <is>
          <t>关税</t>
        </is>
      </c>
      <c r="F153" s="2" t="inlineStr">
        <is>
          <t>S</t>
        </is>
      </c>
      <c r="G153" s="2" t="n">
        <v>0</v>
      </c>
      <c r="H153" s="2" t="n">
        <v>2</v>
      </c>
      <c r="I153" s="3" t="n">
        <v>1</v>
      </c>
      <c r="J153" s="3" t="n">
        <v>2</v>
      </c>
      <c r="K153" s="2" t="inlineStr">
        <is>
          <t>欧盟对华 EV 反补贴税，属整车厂关税暴露的同类政策背景，但不回答特斯拉自身披露 ｜ 人工判定与Auto(0)不同，请复核</t>
        </is>
      </c>
      <c r="L153" s="2" t="inlineStr">
        <is>
          <t>欧盟委员会（EUR-Lex / Official Journal）</t>
        </is>
      </c>
      <c r="M153" s="2" t="inlineStr">
        <is>
          <t>Company Intelligence</t>
        </is>
      </c>
      <c r="N153" s="2" t="inlineStr">
        <is>
          <t>supply_chain</t>
        </is>
      </c>
      <c r="O153" s="2" t="inlineStr">
        <is>
          <t>TSLA_001</t>
        </is>
      </c>
      <c r="P153" s="2" t="inlineStr">
        <is>
          <t>我们在评估把电池与整车产能分散到中国以外，是否真能降低关税与物流成本。特斯拉最新年报对其全球制造布局与关税影响的原始披露说明了什么？</t>
        </is>
      </c>
      <c r="Q153" s="2" t="inlineStr">
        <is>
          <t>Evidence ID: EU_003 Title: Commission Implementing Regulation (EU) 2024/2754 imposing a definitive countervailing duty on imports of new battery electric vehicles originating in China（对华纯电动车最终反补贴税） Publisher: 欧盟委员会（EUR-Lex / Official Journal） Country/Jurisdiction: EU/CN / EU-wide</t>
        </is>
      </c>
    </row>
    <row r="154">
      <c r="A154" s="2" t="inlineStr">
        <is>
          <t>Q031</t>
        </is>
      </c>
      <c r="B154" s="2" t="n">
        <v>3</v>
      </c>
      <c r="C154" s="2" t="inlineStr">
        <is>
          <t>UST_001</t>
        </is>
      </c>
      <c r="D154" s="2" t="inlineStr">
        <is>
          <t>Notice of Modification: China's Acts, Policies and Practices Related to Technology Transfer, Intellectual Property and Innovation（Section 301 对华关税调整通知）</t>
        </is>
      </c>
      <c r="E154" s="2" t="inlineStr">
        <is>
          <t>关税</t>
        </is>
      </c>
      <c r="F154" s="2" t="inlineStr">
        <is>
          <t>S</t>
        </is>
      </c>
      <c r="G154" s="2" t="n">
        <v>0</v>
      </c>
      <c r="H154" s="2" t="n">
        <v>2</v>
      </c>
      <c r="I154" s="3" t="n">
        <v>1</v>
      </c>
      <c r="J154" s="3" t="n">
        <v>2</v>
      </c>
      <c r="K154" s="2" t="inlineStr">
        <is>
          <t>美国 Section 301 对华关税清单（含 EV 与锂电池），是特斯拉披露‘关税推高供应链成本’的政策依据 ｜ 人工判定与Auto(0)不同，请复核</t>
        </is>
      </c>
      <c r="L154" s="2" t="inlineStr">
        <is>
          <t>美国贸易代表办公室（USTR，Federal Register）</t>
        </is>
      </c>
      <c r="M154" s="2" t="inlineStr">
        <is>
          <t>Company Intelligence</t>
        </is>
      </c>
      <c r="N154" s="2" t="inlineStr">
        <is>
          <t>supply_chain</t>
        </is>
      </c>
      <c r="O154" s="2" t="inlineStr">
        <is>
          <t>TSLA_001</t>
        </is>
      </c>
      <c r="P154" s="2" t="inlineStr">
        <is>
          <t>我们在评估把电池与整车产能分散到中国以外，是否真能降低关税与物流成本。特斯拉最新年报对其全球制造布局与关税影响的原始披露说明了什么？</t>
        </is>
      </c>
      <c r="Q154" s="2" t="inlineStr">
        <is>
          <t>Evidence ID: UST_001 Title: Notice of Modification: China's Acts, Policies and Practices Related to Technology Transfer, Intellectual Property and Innovation（Section 301 对华关税调整通知） Publisher: 美国贸易代表办公室（USTR，Federal Register） Country/Jurisdiction: US / Federal Publication date: 202</t>
        </is>
      </c>
    </row>
    <row r="155">
      <c r="A155" s="2" t="inlineStr">
        <is>
          <t>Q031</t>
        </is>
      </c>
      <c r="B155" s="2" t="n">
        <v>4</v>
      </c>
      <c r="C155" s="2" t="inlineStr">
        <is>
          <t>DHS_001</t>
        </is>
      </c>
      <c r="D155" s="2" t="inlineStr">
        <is>
          <t>Notice Regarding the Uyghur Forced Labor Prevention Act Entity List（UFLPA 实体清单更新公告）</t>
        </is>
      </c>
      <c r="E155" s="2" t="inlineStr">
        <is>
          <t>劳工</t>
        </is>
      </c>
      <c r="F155" s="2" t="inlineStr">
        <is>
          <t>S</t>
        </is>
      </c>
      <c r="G155" s="2" t="n">
        <v>0</v>
      </c>
      <c r="H155" s="2" t="n">
        <v>2</v>
      </c>
      <c r="I155" s="3" t="n">
        <v>0</v>
      </c>
      <c r="J155" s="3" t="n">
        <v>2</v>
      </c>
      <c r="K155" s="2" t="inlineStr">
        <is>
          <t>强迫劳动清单与特斯拉制造布局/关税披露无关</t>
        </is>
      </c>
      <c r="L155" s="2" t="inlineStr">
        <is>
          <t>美国国土安全部（DHS，Federal Register）</t>
        </is>
      </c>
      <c r="M155" s="2" t="inlineStr">
        <is>
          <t>Company Intelligence</t>
        </is>
      </c>
      <c r="N155" s="2" t="inlineStr">
        <is>
          <t>supply_chain</t>
        </is>
      </c>
      <c r="O155" s="2" t="inlineStr">
        <is>
          <t>TSLA_001</t>
        </is>
      </c>
      <c r="P155" s="2" t="inlineStr">
        <is>
          <t>我们在评估把电池与整车产能分散到中国以外，是否真能降低关税与物流成本。特斯拉最新年报对其全球制造布局与关税影响的原始披露说明了什么？</t>
        </is>
      </c>
      <c r="Q155" s="2" t="inlineStr">
        <is>
          <t>Evidence ID: DHS_001 Title: Notice Regarding the Uyghur Forced Labor Prevention Act Entity List（UFLPA 实体清单更新公告） Publisher: 美国国土安全部（DHS，Federal Register） Country/Jurisdiction: US/CN / Federal Publication date: 2026-08-03 Status: CURRENT Topic: 劳工 Applicability scope: GENERAL Relat</t>
        </is>
      </c>
    </row>
    <row r="156">
      <c r="A156" s="2" t="inlineStr">
        <is>
          <t>Q031</t>
        </is>
      </c>
      <c r="B156" s="2" t="n">
        <v>5</v>
      </c>
      <c r="C156" s="2" t="inlineStr">
        <is>
          <t>SNE_001</t>
        </is>
      </c>
      <c r="D156" s="2" t="inlineStr">
        <is>
          <t>January-August 2026 Global EV Battery Usage Reaches 844.2 GWh, Up 19.7% Year-on-Year（2026年1–8月全球动力电池装车量快报）</t>
        </is>
      </c>
      <c r="E156" s="2" t="inlineStr">
        <is>
          <t>供应链布局</t>
        </is>
      </c>
      <c r="F156" s="2" t="inlineStr">
        <is>
          <t>B</t>
        </is>
      </c>
      <c r="G156" s="2" t="n">
        <v>1</v>
      </c>
      <c r="H156" s="2" t="n">
        <v>1</v>
      </c>
      <c r="I156" s="3" t="n">
        <v>0</v>
      </c>
      <c r="J156" s="3" t="n">
        <v>1</v>
      </c>
      <c r="K156" s="2" t="inlineStr">
        <is>
          <t>电池装车量市场数据，不能回答企业制造布局披露 ｜ 人工判定与Auto(1)不同，请复核</t>
        </is>
      </c>
      <c r="L156" s="2" t="inlineStr">
        <is>
          <t>SNE Research</t>
        </is>
      </c>
      <c r="M156" s="2" t="inlineStr">
        <is>
          <t>Company Intelligence</t>
        </is>
      </c>
      <c r="N156" s="2" t="inlineStr">
        <is>
          <t>supply_chain</t>
        </is>
      </c>
      <c r="O156" s="2" t="inlineStr">
        <is>
          <t>TSLA_001</t>
        </is>
      </c>
      <c r="P156" s="2" t="inlineStr">
        <is>
          <t>我们在评估把电池与整车产能分散到中国以外，是否真能降低关税与物流成本。特斯拉最新年报对其全球制造布局与关税影响的原始披露说明了什么？</t>
        </is>
      </c>
      <c r="Q156" s="2" t="inlineStr">
        <is>
          <t>Evidence ID: SNE_001 Title: January-August 2026 Global EV Battery Usage Reaches 844.2 GWh, Up 19.7% Year-on-Year（2026年1–8月全球动力电池装车量快报） Publisher: SNE Research Country/Jurisdiction: 全球 / Global Publication date: 2026-10-02 Status: CURRENT Topic: 供应链布局 Applicability scope: GENERAL</t>
        </is>
      </c>
    </row>
    <row r="157">
      <c r="A157" s="2" t="inlineStr">
        <is>
          <t>Q032</t>
        </is>
      </c>
      <c r="B157" s="2" t="n">
        <v>1</v>
      </c>
      <c r="C157" s="2" t="inlineStr">
        <is>
          <t>NIO_001</t>
        </is>
      </c>
      <c r="D157" s="2" t="inlineStr">
        <is>
          <t>NIO Inc. Form 20-F（fiscal year ended December 31, 2025）蔚来2025财年年报</t>
        </is>
      </c>
      <c r="E157" s="2" t="inlineStr">
        <is>
          <t>出口管制</t>
        </is>
      </c>
      <c r="F157" s="2" t="inlineStr">
        <is>
          <t>S</t>
        </is>
      </c>
      <c r="G157" s="2" t="n">
        <v>2</v>
      </c>
      <c r="H157" s="2" t="n">
        <v>2</v>
      </c>
      <c r="I157" s="3" t="n">
        <v>2</v>
      </c>
      <c r="J157" s="3" t="n">
        <v>2</v>
      </c>
      <c r="K157" s="2" t="inlineStr">
        <is>
          <t>本题 expected 证据：蔚来 20-F 披露三座中国制造基地与 BIS 对华半导体管制风险</t>
        </is>
      </c>
      <c r="L157" s="2" t="inlineStr">
        <is>
          <t>蔚来（NIO Inc.，SEC EDGAR）</t>
        </is>
      </c>
      <c r="M157" s="2" t="inlineStr">
        <is>
          <t>Company Intelligence</t>
        </is>
      </c>
      <c r="N157" s="2" t="inlineStr">
        <is>
          <t>export_control</t>
        </is>
      </c>
      <c r="O157" s="2" t="inlineStr">
        <is>
          <t>NIO_001; XPEV_001; LI_001</t>
        </is>
      </c>
      <c r="P157" s="2" t="inlineStr">
        <is>
          <t>如果管理层要评估美国对华出口管制与关税升级对整车企业采购端的直接影响，蔚来、小鹏、理想三家在美股年报中分别披露了哪些制造基地，以及哪些与出口管制/关税相关的供应链风险？</t>
        </is>
      </c>
      <c r="Q157" s="2" t="inlineStr">
        <is>
          <t>Evidence ID: NIO_001 Title: NIO Inc. Form 20-F（fiscal year ended December 31, 2025）蔚来2025财年年报 Publisher: 蔚来（NIO Inc.，SEC EDGAR） Country/Jurisdiction: CN / National Publication date: 2026-04-10 Status: CURRENT Topic: 出口管制 Applicability scope: GENERAL Related industries: 整车/汽车 Key</t>
        </is>
      </c>
    </row>
    <row r="158">
      <c r="A158" s="2" t="inlineStr">
        <is>
          <t>Q032</t>
        </is>
      </c>
      <c r="B158" s="2" t="n">
        <v>2</v>
      </c>
      <c r="C158" s="2" t="inlineStr">
        <is>
          <t>XPEV_001</t>
        </is>
      </c>
      <c r="D158" s="2" t="inlineStr">
        <is>
          <t>XPeng Inc. Form 20-F（fiscal year ended December 31, 2025）小鹏汽车2025财年年报</t>
        </is>
      </c>
      <c r="E158" s="2" t="inlineStr">
        <is>
          <t>出口管制</t>
        </is>
      </c>
      <c r="F158" s="2" t="inlineStr">
        <is>
          <t>S</t>
        </is>
      </c>
      <c r="G158" s="2" t="n">
        <v>2</v>
      </c>
      <c r="H158" s="2" t="n">
        <v>2</v>
      </c>
      <c r="I158" s="3" t="n">
        <v>2</v>
      </c>
      <c r="J158" s="3" t="n">
        <v>2</v>
      </c>
      <c r="K158" s="2" t="inlineStr">
        <is>
          <t>本题 expected 证据：小鹏 20-F 披露肇庆/广州/武汉基地与出口管制采购风险</t>
        </is>
      </c>
      <c r="L158" s="2" t="inlineStr">
        <is>
          <t>小鹏汽车（XPeng Inc.，SEC EDGAR）</t>
        </is>
      </c>
      <c r="M158" s="2" t="inlineStr">
        <is>
          <t>Company Intelligence</t>
        </is>
      </c>
      <c r="N158" s="2" t="inlineStr">
        <is>
          <t>export_control</t>
        </is>
      </c>
      <c r="O158" s="2" t="inlineStr">
        <is>
          <t>NIO_001; XPEV_001; LI_001</t>
        </is>
      </c>
      <c r="P158" s="2" t="inlineStr">
        <is>
          <t>如果管理层要评估美国对华出口管制与关税升级对整车企业采购端的直接影响，蔚来、小鹏、理想三家在美股年报中分别披露了哪些制造基地，以及哪些与出口管制/关税相关的供应链风险？</t>
        </is>
      </c>
      <c r="Q158" s="2" t="inlineStr">
        <is>
          <t>Evidence ID: XPEV_001 Title: XPeng Inc. Form 20-F（fiscal year ended December 31, 2025）小鹏汽车2025财年年报 Publisher: 小鹏汽车（XPeng Inc.，SEC EDGAR） Country/Jurisdiction: CN / National Publication date: 2026-04-16 Status: CURRENT Topic: 出口管制 Applicability scope: GENERAL Related industries: 整</t>
        </is>
      </c>
    </row>
    <row r="159">
      <c r="A159" s="2" t="inlineStr">
        <is>
          <t>Q032</t>
        </is>
      </c>
      <c r="B159" s="2" t="n">
        <v>3</v>
      </c>
      <c r="C159" s="2" t="inlineStr">
        <is>
          <t>FR_001</t>
        </is>
      </c>
      <c r="D159" s="2" t="inlineStr">
        <is>
          <t>Federal Register API（美国联邦公报）</t>
        </is>
      </c>
      <c r="E159" s="2" t="inlineStr">
        <is>
          <t>出口管制/关税</t>
        </is>
      </c>
      <c r="F159" s="2" t="inlineStr">
        <is>
          <t>S</t>
        </is>
      </c>
      <c r="G159" s="2" t="n">
        <v>1</v>
      </c>
      <c r="H159" s="2" t="n">
        <v>2</v>
      </c>
      <c r="I159" s="3" t="n">
        <v>1</v>
      </c>
      <c r="J159" s="3" t="n">
        <v>2</v>
      </c>
      <c r="K159" s="2" t="inlineStr">
        <is>
          <t>美国联邦公报监测入口，可追踪出口管制/关税规则变化，属合规背景工具而非企业披露</t>
        </is>
      </c>
      <c r="L159" s="2" t="inlineStr">
        <is>
          <t>美国国家档案馆联邦公报办公室</t>
        </is>
      </c>
      <c r="M159" s="2" t="inlineStr">
        <is>
          <t>Company Intelligence</t>
        </is>
      </c>
      <c r="N159" s="2" t="inlineStr">
        <is>
          <t>export_control</t>
        </is>
      </c>
      <c r="O159" s="2" t="inlineStr">
        <is>
          <t>NIO_001; XPEV_001; LI_001</t>
        </is>
      </c>
      <c r="P159" s="2" t="inlineStr">
        <is>
          <t>如果管理层要评估美国对华出口管制与关税升级对整车企业采购端的直接影响，蔚来、小鹏、理想三家在美股年报中分别披露了哪些制造基地，以及哪些与出口管制/关税相关的供应链风险？</t>
        </is>
      </c>
      <c r="Q159" s="2" t="inlineStr">
        <is>
          <t>Evidence ID: FR_001 Title: Federal Register API（美国联邦公报） Publisher: 美国国家档案馆联邦公报办公室 Country/Jurisdiction: US / Federal Publication date: 持续更新（每日） Status: CURRENT Topic: 出口管制/关税 Applicability scope: GENERAL Related industries: 通用 Key finding: 免费，无需key；按机构（BIS/USTR/CBP）过滤。 Bulk datab</t>
        </is>
      </c>
    </row>
    <row r="160">
      <c r="A160" s="2" t="inlineStr">
        <is>
          <t>Q032</t>
        </is>
      </c>
      <c r="B160" s="2" t="n">
        <v>4</v>
      </c>
      <c r="C160" s="2" t="inlineStr">
        <is>
          <t>MOFCOM_002</t>
        </is>
      </c>
      <c r="D160" s="2" t="inlineStr">
        <is>
          <t>商务部公告2025年第72号（暂停实施2024年第46号公告第二款，涉及对美两用物项出口管制）</t>
        </is>
      </c>
      <c r="E160" s="2" t="inlineStr">
        <is>
          <t>出口管制</t>
        </is>
      </c>
      <c r="F160" s="2" t="inlineStr">
        <is>
          <t>S</t>
        </is>
      </c>
      <c r="G160" s="2" t="n">
        <v>1</v>
      </c>
      <c r="H160" s="2" t="n">
        <v>2</v>
      </c>
      <c r="I160" s="3" t="n">
        <v>1</v>
      </c>
      <c r="J160" s="3" t="n">
        <v>2</v>
      </c>
      <c r="K160" s="2" t="inlineStr">
        <is>
          <t>中国对美两用物项出口管制反制措施，可作中美出口管制互动的政策背景</t>
        </is>
      </c>
      <c r="L160" s="2" t="inlineStr">
        <is>
          <t>商务部</t>
        </is>
      </c>
      <c r="M160" s="2" t="inlineStr">
        <is>
          <t>Company Intelligence</t>
        </is>
      </c>
      <c r="N160" s="2" t="inlineStr">
        <is>
          <t>export_control</t>
        </is>
      </c>
      <c r="O160" s="2" t="inlineStr">
        <is>
          <t>NIO_001; XPEV_001; LI_001</t>
        </is>
      </c>
      <c r="P160" s="2" t="inlineStr">
        <is>
          <t>如果管理层要评估美国对华出口管制与关税升级对整车企业采购端的直接影响，蔚来、小鹏、理想三家在美股年报中分别披露了哪些制造基地，以及哪些与出口管制/关税相关的供应链风险？</t>
        </is>
      </c>
      <c r="Q160" s="2" t="inlineStr">
        <is>
          <t>Evidence ID: MOFCOM_002 Title: 商务部公告2025年第72号（暂停实施2024年第46号公告第二款，涉及对美两用物项出口管制） Publisher: 商务部 Country/Jurisdiction: CN / National Publication date: 2025-11-09 Status: CURRENT Topic: 出口管制 Applicability scope: GENERAL Related industries: ◆随产业 Key finding: 目前仅见第三方转述：暂停期至2026-11-27，涉</t>
        </is>
      </c>
    </row>
    <row r="161">
      <c r="A161" s="2" t="inlineStr">
        <is>
          <t>Q032</t>
        </is>
      </c>
      <c r="B161" s="2" t="n">
        <v>5</v>
      </c>
      <c r="C161" s="2" t="inlineStr">
        <is>
          <t>ITA_001</t>
        </is>
      </c>
      <c r="D161" s="2" t="inlineStr">
        <is>
          <t>Consolidated Screening List API（美国合并筛查清单）</t>
        </is>
      </c>
      <c r="E161" s="2" t="inlineStr">
        <is>
          <t>出口管制</t>
        </is>
      </c>
      <c r="F161" s="2" t="inlineStr">
        <is>
          <t>S</t>
        </is>
      </c>
      <c r="G161" s="2" t="n">
        <v>1</v>
      </c>
      <c r="H161" s="2" t="n">
        <v>2</v>
      </c>
      <c r="I161" s="3" t="n">
        <v>1</v>
      </c>
      <c r="J161" s="3" t="n">
        <v>2</v>
      </c>
      <c r="K161" s="2" t="inlineStr">
        <is>
          <t>美国受限方筛查清单入口，可支持出口管制合规流程判断，但非企业披露</t>
        </is>
      </c>
      <c r="L161" s="2" t="inlineStr">
        <is>
          <t>美国国际贸易管理局（ITA）</t>
        </is>
      </c>
      <c r="M161" s="2" t="inlineStr">
        <is>
          <t>Company Intelligence</t>
        </is>
      </c>
      <c r="N161" s="2" t="inlineStr">
        <is>
          <t>export_control</t>
        </is>
      </c>
      <c r="O161" s="2" t="inlineStr">
        <is>
          <t>NIO_001; XPEV_001; LI_001</t>
        </is>
      </c>
      <c r="P161" s="2" t="inlineStr">
        <is>
          <t>如果管理层要评估美国对华出口管制与关税升级对整车企业采购端的直接影响，蔚来、小鹏、理想三家在美股年报中分别披露了哪些制造基地，以及哪些与出口管制/关税相关的供应链风险？</t>
        </is>
      </c>
      <c r="Q161" s="2" t="inlineStr">
        <is>
          <t>Evidence ID: ITA_001 Title: Consolidated Screening List API（美国合并筛查清单） Publisher: 美国国际贸易管理局（ITA） Country/Jurisdiction: US / Federal Publication date: 持续更新（每日） Status: CURRENT Topic: 出口管制 Applicability scope: GENERAL Related industries: 通用 Key finding: 合并商务部、国务院、财政部11份清单；支持模糊名称搜索。</t>
        </is>
      </c>
    </row>
    <row r="162">
      <c r="A162" s="2" t="inlineStr">
        <is>
          <t>Q033</t>
        </is>
      </c>
      <c r="B162" s="2" t="n">
        <v>1</v>
      </c>
      <c r="C162" s="2" t="inlineStr">
        <is>
          <t>ALB_001</t>
        </is>
      </c>
      <c r="D162" s="2" t="inlineStr">
        <is>
          <t>Albemarle Corporation Form 10-K（fiscal year ended December 31, 2025）雅保2025财年年报</t>
        </is>
      </c>
      <c r="E162" s="2" t="inlineStr">
        <is>
          <t>供应链布局</t>
        </is>
      </c>
      <c r="F162" s="2" t="inlineStr">
        <is>
          <t>S</t>
        </is>
      </c>
      <c r="G162" s="2" t="n">
        <v>2</v>
      </c>
      <c r="H162" s="2" t="n">
        <v>2</v>
      </c>
      <c r="I162" s="3" t="n">
        <v>2</v>
      </c>
      <c r="J162" s="3" t="n">
        <v>2</v>
      </c>
      <c r="K162" s="2" t="inlineStr">
        <is>
          <t>本题 expected 证据：雅保 10-K 披露智利/澳大利亚资源与中澳加工布局及贸易政策风险</t>
        </is>
      </c>
      <c r="L162" s="2" t="inlineStr">
        <is>
          <t>雅保公司（Albemarle Corporation，SEC EDGAR）</t>
        </is>
      </c>
      <c r="M162" s="2" t="inlineStr">
        <is>
          <t>Company Intelligence</t>
        </is>
      </c>
      <c r="N162" s="2" t="inlineStr">
        <is>
          <t>supply_chain</t>
        </is>
      </c>
      <c r="O162" s="2" t="inlineStr">
        <is>
          <t>ALB_001</t>
        </is>
      </c>
      <c r="P162" s="2" t="inlineStr">
        <is>
          <t>我们要评估锂盐供应在贸易政策变化下的脆弱性。雅保（Albemarle）最新年报如何披露其锂资源与转化加工的全球布局，以及相关的贸易政策风险？</t>
        </is>
      </c>
      <c r="Q162" s="2" t="inlineStr">
        <is>
          <t>Evidence ID: ALB_001 Title: Albemarle Corporation Form 10-K（fiscal year ended December 31, 2025）雅保2025财年年报 Publisher: 雅保公司（Albemarle Corporation，SEC EDGAR） Country/Jurisdiction: US/CL/AU/CN / Federal (SEC registrant) Publication date: 2026-02-11 Status: CURRENT Topic: 供应链布局 Appli</t>
        </is>
      </c>
    </row>
    <row r="163">
      <c r="A163" s="2" t="inlineStr">
        <is>
          <t>Q033</t>
        </is>
      </c>
      <c r="B163" s="2" t="n">
        <v>2</v>
      </c>
      <c r="C163" s="2" t="inlineStr">
        <is>
          <t>DHS_001</t>
        </is>
      </c>
      <c r="D163" s="2" t="inlineStr">
        <is>
          <t>Notice Regarding the Uyghur Forced Labor Prevention Act Entity List（UFLPA 实体清单更新公告）</t>
        </is>
      </c>
      <c r="E163" s="2" t="inlineStr">
        <is>
          <t>劳工</t>
        </is>
      </c>
      <c r="F163" s="2" t="inlineStr">
        <is>
          <t>S</t>
        </is>
      </c>
      <c r="G163" s="2" t="n">
        <v>0</v>
      </c>
      <c r="H163" s="2" t="n">
        <v>2</v>
      </c>
      <c r="I163" s="3" t="n">
        <v>1</v>
      </c>
      <c r="J163" s="3" t="n">
        <v>2</v>
      </c>
      <c r="K163" s="2" t="inlineStr">
        <is>
          <t>美国 UFLPA 清单含碳酸锂与电池铝箔实体，直接构成锂材料供应链的贸易/合规风险 ｜ 人工判定与Auto(0)不同，请复核</t>
        </is>
      </c>
      <c r="L163" s="2" t="inlineStr">
        <is>
          <t>美国国土安全部（DHS，Federal Register）</t>
        </is>
      </c>
      <c r="M163" s="2" t="inlineStr">
        <is>
          <t>Company Intelligence</t>
        </is>
      </c>
      <c r="N163" s="2" t="inlineStr">
        <is>
          <t>supply_chain</t>
        </is>
      </c>
      <c r="O163" s="2" t="inlineStr">
        <is>
          <t>ALB_001</t>
        </is>
      </c>
      <c r="P163" s="2" t="inlineStr">
        <is>
          <t>我们要评估锂盐供应在贸易政策变化下的脆弱性。雅保（Albemarle）最新年报如何披露其锂资源与转化加工的全球布局，以及相关的贸易政策风险？</t>
        </is>
      </c>
      <c r="Q163" s="2" t="inlineStr">
        <is>
          <t>Evidence ID: DHS_001 Title: Notice Regarding the Uyghur Forced Labor Prevention Act Entity List（UFLPA 实体清单更新公告） Publisher: 美国国土安全部（DHS，Federal Register） Country/Jurisdiction: US/CN / Federal Publication date: 2026-08-03 Status: CURRENT Topic: 劳工 Applicability scope: GENERAL Relat</t>
        </is>
      </c>
    </row>
    <row r="164">
      <c r="A164" s="2" t="inlineStr">
        <is>
          <t>Q033</t>
        </is>
      </c>
      <c r="B164" s="2" t="n">
        <v>3</v>
      </c>
      <c r="C164" s="2" t="inlineStr">
        <is>
          <t>SNE_001</t>
        </is>
      </c>
      <c r="D164" s="2" t="inlineStr">
        <is>
          <t>January-August 2026 Global EV Battery Usage Reaches 844.2 GWh, Up 19.7% Year-on-Year（2026年1–8月全球动力电池装车量快报）</t>
        </is>
      </c>
      <c r="E164" s="2" t="inlineStr">
        <is>
          <t>供应链布局</t>
        </is>
      </c>
      <c r="F164" s="2" t="inlineStr">
        <is>
          <t>B</t>
        </is>
      </c>
      <c r="G164" s="2" t="n">
        <v>1</v>
      </c>
      <c r="H164" s="2" t="n">
        <v>1</v>
      </c>
      <c r="I164" s="3" t="n">
        <v>1</v>
      </c>
      <c r="J164" s="3" t="n">
        <v>1</v>
      </c>
      <c r="K164" s="2" t="inlineStr">
        <is>
          <t>全球电池装车量数据，可支撑锂盐需求侧判断，但不涉及雅保自身布局</t>
        </is>
      </c>
      <c r="L164" s="2" t="inlineStr">
        <is>
          <t>SNE Research</t>
        </is>
      </c>
      <c r="M164" s="2" t="inlineStr">
        <is>
          <t>Company Intelligence</t>
        </is>
      </c>
      <c r="N164" s="2" t="inlineStr">
        <is>
          <t>supply_chain</t>
        </is>
      </c>
      <c r="O164" s="2" t="inlineStr">
        <is>
          <t>ALB_001</t>
        </is>
      </c>
      <c r="P164" s="2" t="inlineStr">
        <is>
          <t>我们要评估锂盐供应在贸易政策变化下的脆弱性。雅保（Albemarle）最新年报如何披露其锂资源与转化加工的全球布局，以及相关的贸易政策风险？</t>
        </is>
      </c>
      <c r="Q164" s="2" t="inlineStr">
        <is>
          <t>Evidence ID: SNE_001 Title: January-August 2026 Global EV Battery Usage Reaches 844.2 GWh, Up 19.7% Year-on-Year（2026年1–8月全球动力电池装车量快报） Publisher: SNE Research Country/Jurisdiction: 全球 / Global Publication date: 2026-10-02 Status: CURRENT Topic: 供应链布局 Applicability scope: GENERAL</t>
        </is>
      </c>
    </row>
    <row r="165">
      <c r="A165" s="2" t="inlineStr">
        <is>
          <t>Q033</t>
        </is>
      </c>
      <c r="B165" s="2" t="n">
        <v>4</v>
      </c>
      <c r="C165" s="2" t="inlineStr">
        <is>
          <t>WH_002</t>
        </is>
      </c>
      <c r="D165" s="2" t="inlineStr">
        <is>
          <t>The Great Transshipment Scam: Rise, Scope, and Costs（白宫非法转运报告）</t>
        </is>
      </c>
      <c r="E165" s="2" t="inlineStr">
        <is>
          <t>原产地与转运</t>
        </is>
      </c>
      <c r="F165" s="2" t="inlineStr">
        <is>
          <t>S</t>
        </is>
      </c>
      <c r="G165" s="2" t="n">
        <v>1</v>
      </c>
      <c r="H165" s="2" t="n">
        <v>2</v>
      </c>
      <c r="I165" s="3" t="n">
        <v>0</v>
      </c>
      <c r="J165" s="3" t="n">
        <v>2</v>
      </c>
      <c r="K165" s="2" t="inlineStr">
        <is>
          <t>转运执法报告，与锂资源/加工布局披露无关 ｜ 人工判定与Auto(1)不同，请复核</t>
        </is>
      </c>
      <c r="L165" s="2" t="inlineStr">
        <is>
          <t>美国白宫贸易与制造业政策办公室</t>
        </is>
      </c>
      <c r="M165" s="2" t="inlineStr">
        <is>
          <t>Company Intelligence</t>
        </is>
      </c>
      <c r="N165" s="2" t="inlineStr">
        <is>
          <t>supply_chain</t>
        </is>
      </c>
      <c r="O165" s="2" t="inlineStr">
        <is>
          <t>ALB_001</t>
        </is>
      </c>
      <c r="P165" s="2" t="inlineStr">
        <is>
          <t>我们要评估锂盐供应在贸易政策变化下的脆弱性。雅保（Albemarle）最新年报如何披露其锂资源与转化加工的全球布局，以及相关的贸易政策风险？</t>
        </is>
      </c>
      <c r="Q165" s="2" t="inlineStr">
        <is>
          <t>Evidence ID: WH_002 Title: The Great Transshipment Scam: Rise, Scope, and Costs（白宫非法转运报告） Publisher: 美国白宫贸易与制造业政策办公室 Country/Jurisdiction: US / Federal Publication date: 2026-08-13 Status: CURRENT Topic: 原产地与转运 Applicability scope: GENERAL Related industries: 通用 Key finding: 点名40</t>
        </is>
      </c>
    </row>
    <row r="166">
      <c r="A166" s="2" t="inlineStr">
        <is>
          <t>Q033</t>
        </is>
      </c>
      <c r="B166" s="2" t="n">
        <v>5</v>
      </c>
      <c r="C166" s="2" t="inlineStr">
        <is>
          <t>TRD_001</t>
        </is>
      </c>
      <c r="D166" s="2" t="inlineStr">
        <is>
          <t>美国自中国、越南、泰国、马来西亚进口 HS 870380, 850760，2018–2025年度</t>
        </is>
      </c>
      <c r="E166" s="2" t="inlineStr">
        <is>
          <t>贸易流</t>
        </is>
      </c>
      <c r="F166" s="2" t="inlineStr">
        <is>
          <t>A+</t>
        </is>
      </c>
      <c r="G166" s="2" t="n">
        <v>1</v>
      </c>
      <c r="H166" s="2" t="n">
        <v>2</v>
      </c>
      <c r="I166" s="3" t="n">
        <v>1</v>
      </c>
      <c r="J166" s="3" t="n">
        <v>2</v>
      </c>
      <c r="K166" s="2" t="inlineStr">
        <is>
          <t>美国 EV/锂电池进口数据，可作锂电材料贸易流背景</t>
        </is>
      </c>
      <c r="L166" s="2" t="inlineStr">
        <is>
          <t>联合国商品贸易统计数据库（UN Comtrade）</t>
        </is>
      </c>
      <c r="M166" s="2" t="inlineStr">
        <is>
          <t>Company Intelligence</t>
        </is>
      </c>
      <c r="N166" s="2" t="inlineStr">
        <is>
          <t>supply_chain</t>
        </is>
      </c>
      <c r="O166" s="2" t="inlineStr">
        <is>
          <t>ALB_001</t>
        </is>
      </c>
      <c r="P166" s="2" t="inlineStr">
        <is>
          <t>我们要评估锂盐供应在贸易政策变化下的脆弱性。雅保（Albemarle）最新年报如何披露其锂资源与转化加工的全球布局，以及相关的贸易政策风险？</t>
        </is>
      </c>
      <c r="Q166" s="2" t="inlineStr">
        <is>
          <t>Evidence ID: TRD_001 Title: 美国自中国、越南、泰国、马来西亚进口 HS 870380, 850760，2018–2025年度 Publisher: 联合国商品贸易统计数据库（UN Comtrade） Country/Jurisdiction: US / Federal Publication date: 持续更新 Status: CURRENT Topic: 贸易流 Applicability scope: GENERAL Related industries: ◆电子/光电 Key finding: HS 851762仅为光</t>
        </is>
      </c>
    </row>
    <row r="167">
      <c r="A167" s="2" t="inlineStr">
        <is>
          <t>Q034</t>
        </is>
      </c>
      <c r="B167" s="2" t="n">
        <v>1</v>
      </c>
      <c r="C167" s="2" t="inlineStr">
        <is>
          <t>USMCA_001</t>
        </is>
      </c>
      <c r="D167" s="2" t="inlineStr">
        <is>
          <t>USMCA Chapter 4: Rules of Origin（美墨加协定第4章原产地规则）</t>
        </is>
      </c>
      <c r="E167" s="2" t="inlineStr">
        <is>
          <t>原产地与转运</t>
        </is>
      </c>
      <c r="F167" s="2" t="inlineStr">
        <is>
          <t>S</t>
        </is>
      </c>
      <c r="G167" s="2" t="n">
        <v>2</v>
      </c>
      <c r="H167" s="2" t="n">
        <v>2</v>
      </c>
      <c r="I167" s="3" t="n">
        <v>2</v>
      </c>
      <c r="J167" s="3" t="n">
        <v>2</v>
      </c>
      <c r="K167" s="2" t="inlineStr">
        <is>
          <t>本题 expected 证据：第4章原产地规则给出 75%/65% 区域成分门槛与劳动价值含量要求</t>
        </is>
      </c>
      <c r="L167" s="2" t="inlineStr">
        <is>
          <t>美国贸易代表办公室（USTR）</t>
        </is>
      </c>
      <c r="M167" s="2" t="inlineStr">
        <is>
          <t>Market Access</t>
        </is>
      </c>
      <c r="N167" s="2" t="inlineStr">
        <is>
          <t>trade_policy</t>
        </is>
      </c>
      <c r="O167" s="2" t="inlineStr">
        <is>
          <t>USMCA_001</t>
        </is>
      </c>
      <c r="P167" s="2" t="inlineStr">
        <is>
          <t>假设我们把电池包组装放在墨西哥、电芯仍从中国采购，要享受USMCA优惠关税必须满足什么原产地成分门槛？</t>
        </is>
      </c>
      <c r="Q167" s="2" t="inlineStr">
        <is>
          <t>Evidence ID: USMCA_001 Title: USMCA Chapter 4: Rules of Origin（美墨加协定第4章原产地规则） Publisher: 美国贸易代表办公室（USTR） Country/Jurisdiction: US/MX/CA / Free trade area (USMCA) Publication date: 2020-07-01 Status: CURRENT Topic: 原产地与转运 Applicability scope: GENERAL Related industries: 通用 Key fin</t>
        </is>
      </c>
    </row>
    <row r="168">
      <c r="A168" s="2" t="inlineStr">
        <is>
          <t>Q034</t>
        </is>
      </c>
      <c r="B168" s="2" t="n">
        <v>2</v>
      </c>
      <c r="C168" s="2" t="inlineStr">
        <is>
          <t>DHS_001</t>
        </is>
      </c>
      <c r="D168" s="2" t="inlineStr">
        <is>
          <t>Notice Regarding the Uyghur Forced Labor Prevention Act Entity List（UFLPA 实体清单更新公告）</t>
        </is>
      </c>
      <c r="E168" s="2" t="inlineStr">
        <is>
          <t>劳工</t>
        </is>
      </c>
      <c r="F168" s="2" t="inlineStr">
        <is>
          <t>S</t>
        </is>
      </c>
      <c r="G168" s="2" t="n">
        <v>0</v>
      </c>
      <c r="H168" s="2" t="n">
        <v>2</v>
      </c>
      <c r="I168" s="3" t="n">
        <v>0</v>
      </c>
      <c r="J168" s="3" t="n">
        <v>2</v>
      </c>
      <c r="K168" s="2" t="inlineStr">
        <is>
          <t>强迫劳动合规与 USMCA 原产地门槛无关</t>
        </is>
      </c>
      <c r="L168" s="2" t="inlineStr">
        <is>
          <t>美国国土安全部（DHS，Federal Register）</t>
        </is>
      </c>
      <c r="M168" s="2" t="inlineStr">
        <is>
          <t>Market Access</t>
        </is>
      </c>
      <c r="N168" s="2" t="inlineStr">
        <is>
          <t>trade_policy</t>
        </is>
      </c>
      <c r="O168" s="2" t="inlineStr">
        <is>
          <t>USMCA_001</t>
        </is>
      </c>
      <c r="P168" s="2" t="inlineStr">
        <is>
          <t>假设我们把电池包组装放在墨西哥、电芯仍从中国采购，要享受USMCA优惠关税必须满足什么原产地成分门槛？</t>
        </is>
      </c>
      <c r="Q168" s="2" t="inlineStr">
        <is>
          <t>Evidence ID: DHS_001 Title: Notice Regarding the Uyghur Forced Labor Prevention Act Entity List（UFLPA 实体清单更新公告） Publisher: 美国国土安全部（DHS，Federal Register） Country/Jurisdiction: US/CN / Federal Publication date: 2026-08-03 Status: CURRENT Topic: 劳工 Applicability scope: GENERAL Relat</t>
        </is>
      </c>
    </row>
    <row r="169">
      <c r="A169" s="2" t="inlineStr">
        <is>
          <t>Q034</t>
        </is>
      </c>
      <c r="B169" s="2" t="n">
        <v>3</v>
      </c>
      <c r="C169" s="2" t="inlineStr">
        <is>
          <t>CSIS_001</t>
        </is>
      </c>
      <c r="D169" s="2" t="inlineStr">
        <is>
          <t>The Visibility Gap: How AI Can Stop Chinese Transshipment Under USMCA</t>
        </is>
      </c>
      <c r="E169" s="2" t="inlineStr">
        <is>
          <t>原产地与转运</t>
        </is>
      </c>
      <c r="F169" s="2" t="inlineStr">
        <is>
          <t>A</t>
        </is>
      </c>
      <c r="G169" s="2" t="n">
        <v>1</v>
      </c>
      <c r="H169" s="2" t="n">
        <v>2</v>
      </c>
      <c r="I169" s="3" t="n">
        <v>1</v>
      </c>
      <c r="J169" s="3" t="n">
        <v>2</v>
      </c>
      <c r="K169" s="2" t="inlineStr">
        <is>
          <t>转运可视化与执法分析，可支持‘原产地需可举证’的实施难度判断</t>
        </is>
      </c>
      <c r="L169" s="2" t="inlineStr">
        <is>
          <t>战略与国际研究中心（CSIS）</t>
        </is>
      </c>
      <c r="M169" s="2" t="inlineStr">
        <is>
          <t>Market Access</t>
        </is>
      </c>
      <c r="N169" s="2" t="inlineStr">
        <is>
          <t>trade_policy</t>
        </is>
      </c>
      <c r="O169" s="2" t="inlineStr">
        <is>
          <t>USMCA_001</t>
        </is>
      </c>
      <c r="P169" s="2" t="inlineStr">
        <is>
          <t>假设我们把电池包组装放在墨西哥、电芯仍从中国采购，要享受USMCA优惠关税必须满足什么原产地成分门槛？</t>
        </is>
      </c>
      <c r="Q169" s="2" t="inlineStr">
        <is>
          <t>Evidence ID: CSIS_001 Title: The Visibility Gap: How AI Can Stop Chinese Transshipment Under USMCA Publisher: 战略与国际研究中心（CSIS） Country/Jurisdiction: US / Federal Publication date: 2026-08 Status: CURRENT Topic: 原产地与转运 Applicability scope: GENERAL Related industries: 通用 Key finding</t>
        </is>
      </c>
    </row>
    <row r="170">
      <c r="A170" s="2" t="inlineStr">
        <is>
          <t>Q034</t>
        </is>
      </c>
      <c r="B170" s="2" t="n">
        <v>4</v>
      </c>
      <c r="C170" s="2" t="inlineStr">
        <is>
          <t>SNE_001</t>
        </is>
      </c>
      <c r="D170" s="2" t="inlineStr">
        <is>
          <t>January-August 2026 Global EV Battery Usage Reaches 844.2 GWh, Up 19.7% Year-on-Year（2026年1–8月全球动力电池装车量快报）</t>
        </is>
      </c>
      <c r="E170" s="2" t="inlineStr">
        <is>
          <t>供应链布局</t>
        </is>
      </c>
      <c r="F170" s="2" t="inlineStr">
        <is>
          <t>B</t>
        </is>
      </c>
      <c r="G170" s="2" t="n">
        <v>1</v>
      </c>
      <c r="H170" s="2" t="n">
        <v>1</v>
      </c>
      <c r="I170" s="3" t="n">
        <v>0</v>
      </c>
      <c r="J170" s="3" t="n">
        <v>1</v>
      </c>
      <c r="K170" s="2" t="inlineStr">
        <is>
          <t>电池市场数据与原产地门槛无关 ｜ 人工判定与Auto(1)不同，请复核</t>
        </is>
      </c>
      <c r="L170" s="2" t="inlineStr">
        <is>
          <t>SNE Research</t>
        </is>
      </c>
      <c r="M170" s="2" t="inlineStr">
        <is>
          <t>Market Access</t>
        </is>
      </c>
      <c r="N170" s="2" t="inlineStr">
        <is>
          <t>trade_policy</t>
        </is>
      </c>
      <c r="O170" s="2" t="inlineStr">
        <is>
          <t>USMCA_001</t>
        </is>
      </c>
      <c r="P170" s="2" t="inlineStr">
        <is>
          <t>假设我们把电池包组装放在墨西哥、电芯仍从中国采购，要享受USMCA优惠关税必须满足什么原产地成分门槛？</t>
        </is>
      </c>
      <c r="Q170" s="2" t="inlineStr">
        <is>
          <t>Evidence ID: SNE_001 Title: January-August 2026 Global EV Battery Usage Reaches 844.2 GWh, Up 19.7% Year-on-Year（2026年1–8月全球动力电池装车量快报） Publisher: SNE Research Country/Jurisdiction: 全球 / Global Publication date: 2026-10-02 Status: CURRENT Topic: 供应链布局 Applicability scope: GENERAL</t>
        </is>
      </c>
    </row>
    <row r="171">
      <c r="A171" s="2" t="inlineStr">
        <is>
          <t>Q034</t>
        </is>
      </c>
      <c r="B171" s="2" t="n">
        <v>5</v>
      </c>
      <c r="C171" s="2" t="inlineStr">
        <is>
          <t>IRS_001</t>
        </is>
      </c>
      <c r="D171" s="2" t="inlineStr">
        <is>
          <t>Clean Vehicle Credits Under Sections 25E and 30D; Transfer of Credits; Critical Minerals and Battery Components; Foreign Entities of Concern（清洁车辆抵免与FEOC最终规则）</t>
        </is>
      </c>
      <c r="E171" s="2" t="inlineStr">
        <is>
          <t>本地化政策</t>
        </is>
      </c>
      <c r="F171" s="2" t="inlineStr">
        <is>
          <t>S</t>
        </is>
      </c>
      <c r="G171" s="2" t="n">
        <v>0</v>
      </c>
      <c r="H171" s="2" t="n">
        <v>2</v>
      </c>
      <c r="I171" s="3" t="n">
        <v>1</v>
      </c>
      <c r="J171" s="3" t="n">
        <v>2</v>
      </c>
      <c r="K171" s="2" t="inlineStr">
        <is>
          <t>美国 IRA 电池组件/关键矿物本地含量规则，属同类内容门槛，可用于对照但不适用于 USMCA ｜ 人工判定与Auto(0)不同，请复核</t>
        </is>
      </c>
      <c r="L171" s="2" t="inlineStr">
        <is>
          <t>美国财政部/国税局（Federal Register）</t>
        </is>
      </c>
      <c r="M171" s="2" t="inlineStr">
        <is>
          <t>Market Access</t>
        </is>
      </c>
      <c r="N171" s="2" t="inlineStr">
        <is>
          <t>trade_policy</t>
        </is>
      </c>
      <c r="O171" s="2" t="inlineStr">
        <is>
          <t>USMCA_001</t>
        </is>
      </c>
      <c r="P171" s="2" t="inlineStr">
        <is>
          <t>假设我们把电池包组装放在墨西哥、电芯仍从中国采购，要享受USMCA优惠关税必须满足什么原产地成分门槛？</t>
        </is>
      </c>
      <c r="Q171" s="2" t="inlineStr">
        <is>
          <t>Evidence ID: IRS_001 Title: Clean Vehicle Credits Under Sections 25E and 30D; Transfer of Credits; Critical Minerals and Battery Components; Foreign Entities of Concern（清洁车辆抵免与FEOC最终规则） Publisher: 美国财政部/国税局（Federal Register） Country/Jurisdiction: US / Federal Publication date: 20</t>
        </is>
      </c>
    </row>
    <row r="172">
      <c r="A172" s="2" t="inlineStr">
        <is>
          <t>Q035</t>
        </is>
      </c>
      <c r="B172" s="2" t="n">
        <v>1</v>
      </c>
      <c r="C172" s="2" t="inlineStr">
        <is>
          <t>WTO_002</t>
        </is>
      </c>
      <c r="D172" s="2" t="inlineStr">
        <is>
          <t>Trade Policy Review: Report by the Secretariat — India（WT/TPR/S/403）印度第七次贸易政策审议秘书处报告</t>
        </is>
      </c>
      <c r="E172" s="2" t="inlineStr">
        <is>
          <t>贸易流</t>
        </is>
      </c>
      <c r="F172" s="2" t="inlineStr">
        <is>
          <t>A+</t>
        </is>
      </c>
      <c r="G172" s="2" t="n">
        <v>2</v>
      </c>
      <c r="H172" s="2" t="n">
        <v>2</v>
      </c>
      <c r="I172" s="3" t="n">
        <v>2</v>
      </c>
      <c r="J172" s="3" t="n">
        <v>2</v>
      </c>
      <c r="K172" s="2" t="inlineStr">
        <is>
          <t>本题 expected 证据：WTO 对印贸易政策审议，覆盖关税结构与本地化/投资审查基线</t>
        </is>
      </c>
      <c r="L172" s="2" t="inlineStr">
        <is>
          <t>世界贸易组织（WTO）</t>
        </is>
      </c>
      <c r="M172" s="2" t="inlineStr">
        <is>
          <t>Policy / Trade Risk</t>
        </is>
      </c>
      <c r="N172" s="2" t="inlineStr">
        <is>
          <t>tariff</t>
        </is>
      </c>
      <c r="O172" s="2" t="inlineStr">
        <is>
          <t>WTO_002; WTO_003</t>
        </is>
      </c>
      <c r="P172" s="2" t="inlineStr">
        <is>
          <t>我们准备在印度本地建厂以服务当地市场，印度当前的进口关税水平与贸易/本地化政策基线是什么？</t>
        </is>
      </c>
      <c r="Q172" s="2" t="inlineStr">
        <is>
          <t>Evidence ID: WTO_002 Title: Trade Policy Review: Report by the Secretariat — India（WT/TPR/S/403）印度第七次贸易政策审议秘书处报告 Publisher: 世界贸易组织（WTO） Country/Jurisdiction: IN / National Publication date: 2020-11-25 Status: CURRENT Topic: 贸易流 Applicability scope: GENERAL Related industries: 通用</t>
        </is>
      </c>
    </row>
    <row r="173">
      <c r="A173" s="2" t="inlineStr">
        <is>
          <t>Q035</t>
        </is>
      </c>
      <c r="B173" s="2" t="n">
        <v>2</v>
      </c>
      <c r="C173" s="2" t="inlineStr">
        <is>
          <t>WTO_003</t>
        </is>
      </c>
      <c r="D173" s="2" t="inlineStr">
        <is>
          <t>WTO Tariff Profile: India — Tariffs and Imports Summary（WTO国别关税快照：印度）</t>
        </is>
      </c>
      <c r="E173" s="2" t="inlineStr">
        <is>
          <t>贸易流</t>
        </is>
      </c>
      <c r="F173" s="2" t="inlineStr">
        <is>
          <t>A+</t>
        </is>
      </c>
      <c r="G173" s="2" t="n">
        <v>2</v>
      </c>
      <c r="H173" s="2" t="n">
        <v>2</v>
      </c>
      <c r="I173" s="3" t="n">
        <v>2</v>
      </c>
      <c r="J173" s="3" t="n">
        <v>2</v>
      </c>
      <c r="K173" s="2" t="inlineStr">
        <is>
          <t>本题 expected 证据：印度 2025 年 MFN 平均 16.0%、非农 12.8% 等关税量化数据</t>
        </is>
      </c>
      <c r="L173" s="2" t="inlineStr">
        <is>
          <t>世界贸易组织（WTO）</t>
        </is>
      </c>
      <c r="M173" s="2" t="inlineStr">
        <is>
          <t>Policy / Trade Risk</t>
        </is>
      </c>
      <c r="N173" s="2" t="inlineStr">
        <is>
          <t>tariff</t>
        </is>
      </c>
      <c r="O173" s="2" t="inlineStr">
        <is>
          <t>WTO_002; WTO_003</t>
        </is>
      </c>
      <c r="P173" s="2" t="inlineStr">
        <is>
          <t>我们准备在印度本地建厂以服务当地市场，印度当前的进口关税水平与贸易/本地化政策基线是什么？</t>
        </is>
      </c>
      <c r="Q173" s="2" t="inlineStr">
        <is>
          <t>Evidence ID: WTO_003 Title: WTO Tariff Profile: India — Tariffs and Imports Summary（WTO国别关税快照：印度） Publisher: 世界贸易组织（WTO） Country/Jurisdiction: IN / National Publication date: 2025-07 Status: CURRENT Topic: 贸易流 Applicability scope: GENERAL Related industries: 通用 Key finding: WTO国别</t>
        </is>
      </c>
    </row>
    <row r="174">
      <c r="A174" s="2" t="inlineStr">
        <is>
          <t>Q035</t>
        </is>
      </c>
      <c r="B174" s="2" t="n">
        <v>3</v>
      </c>
      <c r="C174" s="2" t="inlineStr">
        <is>
          <t>DHS_001</t>
        </is>
      </c>
      <c r="D174" s="2" t="inlineStr">
        <is>
          <t>Notice Regarding the Uyghur Forced Labor Prevention Act Entity List（UFLPA 实体清单更新公告）</t>
        </is>
      </c>
      <c r="E174" s="2" t="inlineStr">
        <is>
          <t>劳工</t>
        </is>
      </c>
      <c r="F174" s="2" t="inlineStr">
        <is>
          <t>S</t>
        </is>
      </c>
      <c r="G174" s="2" t="n">
        <v>0</v>
      </c>
      <c r="H174" s="2" t="n">
        <v>2</v>
      </c>
      <c r="I174" s="3" t="n">
        <v>0</v>
      </c>
      <c r="J174" s="3" t="n">
        <v>2</v>
      </c>
      <c r="K174" s="2" t="inlineStr">
        <is>
          <t>美国强迫劳动清单与印度准入基线无关</t>
        </is>
      </c>
      <c r="L174" s="2" t="inlineStr">
        <is>
          <t>美国国土安全部（DHS，Federal Register）</t>
        </is>
      </c>
      <c r="M174" s="2" t="inlineStr">
        <is>
          <t>Policy / Trade Risk</t>
        </is>
      </c>
      <c r="N174" s="2" t="inlineStr">
        <is>
          <t>tariff</t>
        </is>
      </c>
      <c r="O174" s="2" t="inlineStr">
        <is>
          <t>WTO_002; WTO_003</t>
        </is>
      </c>
      <c r="P174" s="2" t="inlineStr">
        <is>
          <t>我们准备在印度本地建厂以服务当地市场，印度当前的进口关税水平与贸易/本地化政策基线是什么？</t>
        </is>
      </c>
      <c r="Q174" s="2" t="inlineStr">
        <is>
          <t>Evidence ID: DHS_001 Title: Notice Regarding the Uyghur Forced Labor Prevention Act Entity List（UFLPA 实体清单更新公告） Publisher: 美国国土安全部（DHS，Federal Register） Country/Jurisdiction: US/CN / Federal Publication date: 2026-08-03 Status: CURRENT Topic: 劳工 Applicability scope: GENERAL Relat</t>
        </is>
      </c>
    </row>
    <row r="175">
      <c r="A175" s="2" t="inlineStr">
        <is>
          <t>Q035</t>
        </is>
      </c>
      <c r="B175" s="2" t="n">
        <v>4</v>
      </c>
      <c r="C175" s="2" t="inlineStr">
        <is>
          <t>IRS_001</t>
        </is>
      </c>
      <c r="D175" s="2" t="inlineStr">
        <is>
          <t>Clean Vehicle Credits Under Sections 25E and 30D; Transfer of Credits; Critical Minerals and Battery Components; Foreign Entities of Concern（清洁车辆抵免与FEOC最终规则）</t>
        </is>
      </c>
      <c r="E175" s="2" t="inlineStr">
        <is>
          <t>本地化政策</t>
        </is>
      </c>
      <c r="F175" s="2" t="inlineStr">
        <is>
          <t>S</t>
        </is>
      </c>
      <c r="G175" s="2" t="n">
        <v>0</v>
      </c>
      <c r="H175" s="2" t="n">
        <v>2</v>
      </c>
      <c r="I175" s="3" t="n">
        <v>1</v>
      </c>
      <c r="J175" s="3" t="n">
        <v>2</v>
      </c>
      <c r="K175" s="2" t="inlineStr">
        <is>
          <t>美国 IRA 本地含量规则，属同类本地化政策对照，但非印度规则 ｜ 人工判定与Auto(0)不同，请复核</t>
        </is>
      </c>
      <c r="L175" s="2" t="inlineStr">
        <is>
          <t>美国财政部/国税局（Federal Register）</t>
        </is>
      </c>
      <c r="M175" s="2" t="inlineStr">
        <is>
          <t>Policy / Trade Risk</t>
        </is>
      </c>
      <c r="N175" s="2" t="inlineStr">
        <is>
          <t>tariff</t>
        </is>
      </c>
      <c r="O175" s="2" t="inlineStr">
        <is>
          <t>WTO_002; WTO_003</t>
        </is>
      </c>
      <c r="P175" s="2" t="inlineStr">
        <is>
          <t>我们准备在印度本地建厂以服务当地市场，印度当前的进口关税水平与贸易/本地化政策基线是什么？</t>
        </is>
      </c>
      <c r="Q175" s="2" t="inlineStr">
        <is>
          <t>Evidence ID: IRS_001 Title: Clean Vehicle Credits Under Sections 25E and 30D; Transfer of Credits; Critical Minerals and Battery Components; Foreign Entities of Concern（清洁车辆抵免与FEOC最终规则） Publisher: 美国财政部/国税局（Federal Register） Country/Jurisdiction: US / Federal Publication date: 20</t>
        </is>
      </c>
    </row>
    <row r="176">
      <c r="A176" s="2" t="inlineStr">
        <is>
          <t>Q035</t>
        </is>
      </c>
      <c r="B176" s="2" t="n">
        <v>5</v>
      </c>
      <c r="C176" s="2" t="inlineStr">
        <is>
          <t>WTO_004</t>
        </is>
      </c>
      <c r="D176" s="2" t="inlineStr">
        <is>
          <t>Trade Policy Review: Report by the Secretariat — Indonesia（WT/TPR/S/401）印尼第七次贸易政策审议秘书处报告</t>
        </is>
      </c>
      <c r="E176" s="2" t="inlineStr">
        <is>
          <t>本地化政策</t>
        </is>
      </c>
      <c r="F176" s="2" t="inlineStr">
        <is>
          <t>A+</t>
        </is>
      </c>
      <c r="G176" s="2" t="n">
        <v>0</v>
      </c>
      <c r="H176" s="2" t="n">
        <v>2</v>
      </c>
      <c r="I176" s="3" t="n">
        <v>1</v>
      </c>
      <c r="J176" s="3" t="n">
        <v>2</v>
      </c>
      <c r="K176" s="2" t="inlineStr">
        <is>
          <t>印尼贸易政策审议，属同类市场准入基线，可作区域对照但非印度数据 ｜ 人工判定与Auto(0)不同，请复核</t>
        </is>
      </c>
      <c r="L176" s="2" t="inlineStr">
        <is>
          <t>世界贸易组织（WTO）</t>
        </is>
      </c>
      <c r="M176" s="2" t="inlineStr">
        <is>
          <t>Policy / Trade Risk</t>
        </is>
      </c>
      <c r="N176" s="2" t="inlineStr">
        <is>
          <t>tariff</t>
        </is>
      </c>
      <c r="O176" s="2" t="inlineStr">
        <is>
          <t>WTO_002; WTO_003</t>
        </is>
      </c>
      <c r="P176" s="2" t="inlineStr">
        <is>
          <t>我们准备在印度本地建厂以服务当地市场，印度当前的进口关税水平与贸易/本地化政策基线是什么？</t>
        </is>
      </c>
      <c r="Q176" s="2" t="inlineStr">
        <is>
          <t>Evidence ID: WTO_004 Title: Trade Policy Review: Report by the Secretariat — Indonesia（WT/TPR/S/401）印尼第七次贸易政策审议秘书处报告 Publisher: 世界贸易组织（WTO） Country/Jurisdiction: ID / National Publication date: 2020-11-04 Status: CURRENT Topic: 本地化政策 Applicability scope: GENERAL Related industrie</t>
        </is>
      </c>
    </row>
    <row r="177">
      <c r="A177" s="2" t="inlineStr">
        <is>
          <t>Q036</t>
        </is>
      </c>
      <c r="B177" s="2" t="n">
        <v>1</v>
      </c>
      <c r="C177" s="2" t="inlineStr">
        <is>
          <t>WTO_004</t>
        </is>
      </c>
      <c r="D177" s="2" t="inlineStr">
        <is>
          <t>Trade Policy Review: Report by the Secretariat — Indonesia（WT/TPR/S/401）印尼第七次贸易政策审议秘书处报告</t>
        </is>
      </c>
      <c r="E177" s="2" t="inlineStr">
        <is>
          <t>本地化政策</t>
        </is>
      </c>
      <c r="F177" s="2" t="inlineStr">
        <is>
          <t>A+</t>
        </is>
      </c>
      <c r="G177" s="2" t="n">
        <v>2</v>
      </c>
      <c r="H177" s="2" t="n">
        <v>2</v>
      </c>
      <c r="I177" s="3" t="n">
        <v>2</v>
      </c>
      <c r="J177" s="3" t="n">
        <v>2</v>
      </c>
      <c r="K177" s="2" t="inlineStr">
        <is>
          <t>本题 expected 证据：WTO 对印尼审议记载 TKDN 本地含量要求与镍矿出口禁令/下游化政策</t>
        </is>
      </c>
      <c r="L177" s="2" t="inlineStr">
        <is>
          <t>世界贸易组织（WTO）</t>
        </is>
      </c>
      <c r="M177" s="2" t="inlineStr">
        <is>
          <t>Market Access</t>
        </is>
      </c>
      <c r="N177" s="2" t="inlineStr">
        <is>
          <t>localization_policy</t>
        </is>
      </c>
      <c r="O177" s="2" t="inlineStr">
        <is>
          <t>WTO_004</t>
        </is>
      </c>
      <c r="P177" s="2" t="inlineStr">
        <is>
          <t>印尼对镍与电池产业链设置了哪些本地含量和矿产下游化要求，会影响我们在当地的投资与采购安排？</t>
        </is>
      </c>
      <c r="Q177" s="2" t="inlineStr">
        <is>
          <t>Evidence ID: WTO_004 Title: Trade Policy Review: Report by the Secretariat — Indonesia（WT/TPR/S/401）印尼第七次贸易政策审议秘书处报告 Publisher: 世界贸易组织（WTO） Country/Jurisdiction: ID / National Publication date: 2020-11-04 Status: CURRENT Topic: 本地化政策 Applicability scope: GENERAL Related industrie</t>
        </is>
      </c>
    </row>
    <row r="178">
      <c r="A178" s="2" t="inlineStr">
        <is>
          <t>Q036</t>
        </is>
      </c>
      <c r="B178" s="2" t="n">
        <v>2</v>
      </c>
      <c r="C178" s="2" t="inlineStr">
        <is>
          <t>DHS_001</t>
        </is>
      </c>
      <c r="D178" s="2" t="inlineStr">
        <is>
          <t>Notice Regarding the Uyghur Forced Labor Prevention Act Entity List（UFLPA 实体清单更新公告）</t>
        </is>
      </c>
      <c r="E178" s="2" t="inlineStr">
        <is>
          <t>劳工</t>
        </is>
      </c>
      <c r="F178" s="2" t="inlineStr">
        <is>
          <t>S</t>
        </is>
      </c>
      <c r="G178" s="2" t="n">
        <v>0</v>
      </c>
      <c r="H178" s="2" t="n">
        <v>2</v>
      </c>
      <c r="I178" s="3" t="n">
        <v>0</v>
      </c>
      <c r="J178" s="3" t="n">
        <v>2</v>
      </c>
      <c r="K178" s="2" t="inlineStr">
        <is>
          <t>强迫劳动清单与印尼本地含量/下游化要求无关</t>
        </is>
      </c>
      <c r="L178" s="2" t="inlineStr">
        <is>
          <t>美国国土安全部（DHS，Federal Register）</t>
        </is>
      </c>
      <c r="M178" s="2" t="inlineStr">
        <is>
          <t>Market Access</t>
        </is>
      </c>
      <c r="N178" s="2" t="inlineStr">
        <is>
          <t>localization_policy</t>
        </is>
      </c>
      <c r="O178" s="2" t="inlineStr">
        <is>
          <t>WTO_004</t>
        </is>
      </c>
      <c r="P178" s="2" t="inlineStr">
        <is>
          <t>印尼对镍与电池产业链设置了哪些本地含量和矿产下游化要求，会影响我们在当地的投资与采购安排？</t>
        </is>
      </c>
      <c r="Q178" s="2" t="inlineStr">
        <is>
          <t>Evidence ID: DHS_001 Title: Notice Regarding the Uyghur Forced Labor Prevention Act Entity List（UFLPA 实体清单更新公告） Publisher: 美国国土安全部（DHS，Federal Register） Country/Jurisdiction: US/CN / Federal Publication date: 2026-08-03 Status: CURRENT Topic: 劳工 Applicability scope: GENERAL Relat</t>
        </is>
      </c>
    </row>
    <row r="179">
      <c r="A179" s="2" t="inlineStr">
        <is>
          <t>Q036</t>
        </is>
      </c>
      <c r="B179" s="2" t="n">
        <v>3</v>
      </c>
      <c r="C179" s="2" t="inlineStr">
        <is>
          <t>IRS_001</t>
        </is>
      </c>
      <c r="D179" s="2" t="inlineStr">
        <is>
          <t>Clean Vehicle Credits Under Sections 25E and 30D; Transfer of Credits; Critical Minerals and Battery Components; Foreign Entities of Concern（清洁车辆抵免与FEOC最终规则）</t>
        </is>
      </c>
      <c r="E179" s="2" t="inlineStr">
        <is>
          <t>本地化政策</t>
        </is>
      </c>
      <c r="F179" s="2" t="inlineStr">
        <is>
          <t>S</t>
        </is>
      </c>
      <c r="G179" s="2" t="n">
        <v>1</v>
      </c>
      <c r="H179" s="2" t="n">
        <v>2</v>
      </c>
      <c r="I179" s="3" t="n">
        <v>1</v>
      </c>
      <c r="J179" s="3" t="n">
        <v>2</v>
      </c>
      <c r="K179" s="2" t="inlineStr">
        <is>
          <t>美国 IRA 电池本地含量规则，属同类本地化政策对照，但非印尼规则</t>
        </is>
      </c>
      <c r="L179" s="2" t="inlineStr">
        <is>
          <t>美国财政部/国税局（Federal Register）</t>
        </is>
      </c>
      <c r="M179" s="2" t="inlineStr">
        <is>
          <t>Market Access</t>
        </is>
      </c>
      <c r="N179" s="2" t="inlineStr">
        <is>
          <t>localization_policy</t>
        </is>
      </c>
      <c r="O179" s="2" t="inlineStr">
        <is>
          <t>WTO_004</t>
        </is>
      </c>
      <c r="P179" s="2" t="inlineStr">
        <is>
          <t>印尼对镍与电池产业链设置了哪些本地含量和矿产下游化要求，会影响我们在当地的投资与采购安排？</t>
        </is>
      </c>
      <c r="Q179" s="2" t="inlineStr">
        <is>
          <t>Evidence ID: IRS_001 Title: Clean Vehicle Credits Under Sections 25E and 30D; Transfer of Credits; Critical Minerals and Battery Components; Foreign Entities of Concern（清洁车辆抵免与FEOC最终规则） Publisher: 美国财政部/国税局（Federal Register） Country/Jurisdiction: US / Federal Publication date: 20</t>
        </is>
      </c>
    </row>
    <row r="180">
      <c r="A180" s="2" t="inlineStr">
        <is>
          <t>Q036</t>
        </is>
      </c>
      <c r="B180" s="2" t="n">
        <v>4</v>
      </c>
      <c r="C180" s="2" t="inlineStr">
        <is>
          <t>EU_001</t>
        </is>
      </c>
      <c r="D180" s="2" t="inlineStr">
        <is>
          <t>Regulation (EU) 2023/1542 concerning batteries and waste batteries（欧盟电池与废电池法规）</t>
        </is>
      </c>
      <c r="E180" s="2" t="inlineStr">
        <is>
          <t>市场准入</t>
        </is>
      </c>
      <c r="F180" s="2" t="inlineStr">
        <is>
          <t>S</t>
        </is>
      </c>
      <c r="G180" s="2" t="n">
        <v>1</v>
      </c>
      <c r="H180" s="2" t="n">
        <v>2</v>
      </c>
      <c r="I180" s="3" t="n">
        <v>1</v>
      </c>
      <c r="J180" s="3" t="n">
        <v>2</v>
      </c>
      <c r="K180" s="2" t="inlineStr">
        <is>
          <t>欧盟电池法规的尽职调查与准入要求，属同类市场准入合规对照，但非印尼规则</t>
        </is>
      </c>
      <c r="L180" s="2" t="inlineStr">
        <is>
          <t>欧洲议会与欧盟理事会（EUR-Lex / Official Journal）</t>
        </is>
      </c>
      <c r="M180" s="2" t="inlineStr">
        <is>
          <t>Market Access</t>
        </is>
      </c>
      <c r="N180" s="2" t="inlineStr">
        <is>
          <t>localization_policy</t>
        </is>
      </c>
      <c r="O180" s="2" t="inlineStr">
        <is>
          <t>WTO_004</t>
        </is>
      </c>
      <c r="P180" s="2" t="inlineStr">
        <is>
          <t>印尼对镍与电池产业链设置了哪些本地含量和矿产下游化要求，会影响我们在当地的投资与采购安排？</t>
        </is>
      </c>
      <c r="Q180" s="2" t="inlineStr">
        <is>
          <t>Evidence ID: EU_001 Title: Regulation (EU) 2023/1542 concerning batteries and waste batteries（欧盟电池与废电池法规） Publisher: 欧洲议会与欧盟理事会（EUR-Lex / Official Journal） Country/Jurisdiction: EU / EU-wide Publication date: 2023-07-28 Effective date: 2023-08-17 Status: CURRENT Topic: 市场准入 Appli</t>
        </is>
      </c>
    </row>
    <row r="181">
      <c r="A181" s="2" t="inlineStr">
        <is>
          <t>Q036</t>
        </is>
      </c>
      <c r="B181" s="2" t="n">
        <v>5</v>
      </c>
      <c r="C181" s="2" t="inlineStr">
        <is>
          <t>SNE_001</t>
        </is>
      </c>
      <c r="D181" s="2" t="inlineStr">
        <is>
          <t>January-August 2026 Global EV Battery Usage Reaches 844.2 GWh, Up 19.7% Year-on-Year（2026年1–8月全球动力电池装车量快报）</t>
        </is>
      </c>
      <c r="E181" s="2" t="inlineStr">
        <is>
          <t>供应链布局</t>
        </is>
      </c>
      <c r="F181" s="2" t="inlineStr">
        <is>
          <t>B</t>
        </is>
      </c>
      <c r="G181" s="2" t="n">
        <v>1</v>
      </c>
      <c r="H181" s="2" t="n">
        <v>1</v>
      </c>
      <c r="I181" s="3" t="n">
        <v>0</v>
      </c>
      <c r="J181" s="3" t="n">
        <v>1</v>
      </c>
      <c r="K181" s="2" t="inlineStr">
        <is>
          <t>电池装车量数据不能回答印尼的政策要求 ｜ 人工判定与Auto(1)不同，请复核</t>
        </is>
      </c>
      <c r="L181" s="2" t="inlineStr">
        <is>
          <t>SNE Research</t>
        </is>
      </c>
      <c r="M181" s="2" t="inlineStr">
        <is>
          <t>Market Access</t>
        </is>
      </c>
      <c r="N181" s="2" t="inlineStr">
        <is>
          <t>localization_policy</t>
        </is>
      </c>
      <c r="O181" s="2" t="inlineStr">
        <is>
          <t>WTO_004</t>
        </is>
      </c>
      <c r="P181" s="2" t="inlineStr">
        <is>
          <t>印尼对镍与电池产业链设置了哪些本地含量和矿产下游化要求，会影响我们在当地的投资与采购安排？</t>
        </is>
      </c>
      <c r="Q181" s="2" t="inlineStr">
        <is>
          <t>After unwinding its joint venture with Ford and moving to sole operation of its Tennessee plant, the company is securing LFP materials for its North American ESS business and speeding up the search for demand beyond electric vehicles. Japan's Panasonic ranked sixth with 29. 7 GWh</t>
        </is>
      </c>
    </row>
    <row r="182">
      <c r="A182" s="2" t="inlineStr">
        <is>
          <t>Q037</t>
        </is>
      </c>
      <c r="B182" s="2" t="n">
        <v>1</v>
      </c>
      <c r="C182" s="2" t="inlineStr">
        <is>
          <t>WB_001</t>
        </is>
      </c>
      <c r="D182" s="2" t="inlineStr">
        <is>
          <t>Connecting to Compete 2023: Trade Logistics in an Uncertain Global Economy（2023年物流绩效指数报告）</t>
        </is>
      </c>
      <c r="E182" s="2" t="inlineStr">
        <is>
          <t>物流</t>
        </is>
      </c>
      <c r="F182" s="2" t="inlineStr">
        <is>
          <t>A+</t>
        </is>
      </c>
      <c r="G182" s="2" t="n">
        <v>2</v>
      </c>
      <c r="H182" s="2" t="n">
        <v>2</v>
      </c>
      <c r="I182" s="3" t="n">
        <v>2</v>
      </c>
      <c r="J182" s="3" t="n">
        <v>2</v>
      </c>
      <c r="K182" s="2" t="inlineStr">
        <is>
          <t>本题 expected 证据：世行 LPI 2023 给出中国/越南/印尼/墨西哥的物流与海关分项评分，是本题唯一可量化基准</t>
        </is>
      </c>
      <c r="L182" s="2" t="inlineStr">
        <is>
          <t>世界银行（World Bank）</t>
        </is>
      </c>
      <c r="M182" s="2" t="inlineStr">
        <is>
          <t>Supply Chain Risk</t>
        </is>
      </c>
      <c r="N182" s="2" t="inlineStr">
        <is>
          <t>logistics</t>
        </is>
      </c>
      <c r="O182" s="2" t="inlineStr">
        <is>
          <t>WB_001</t>
        </is>
      </c>
      <c r="P182" s="2" t="inlineStr">
        <is>
          <t>如果产能从中国转移到越南、印尼或墨西哥，物流与通关效率会带来多大额外成本？有没有可量化的基准？</t>
        </is>
      </c>
      <c r="Q182" s="2" t="inlineStr">
        <is>
          <t>Evidence ID: WB_001 Title: Connecting to Compete 2023: Trade Logistics in an Uncertain Global Economy（2023年物流绩效指数报告） Publisher: 世界银行（World Bank） Country/Jurisdiction: 全球 / Global Publication date: 2023-04-28 Status: CURRENT Topic: 物流 Applicability scope: GENERAL Related industrie</t>
        </is>
      </c>
    </row>
    <row r="183">
      <c r="A183" s="2" t="inlineStr">
        <is>
          <t>Q037</t>
        </is>
      </c>
      <c r="B183" s="2" t="n">
        <v>2</v>
      </c>
      <c r="C183" s="2" t="inlineStr">
        <is>
          <t>CASE_002</t>
        </is>
      </c>
      <c r="D183" s="2" t="inlineStr">
        <is>
          <t>美国对东南亚四国光伏产品反规避认定：视为中国原产并适用对华双反</t>
        </is>
      </c>
      <c r="E183" s="2" t="inlineStr">
        <is>
          <t>反规避</t>
        </is>
      </c>
      <c r="F183" s="2" t="inlineStr">
        <is>
          <t>S</t>
        </is>
      </c>
      <c r="G183" s="2" t="n">
        <v>0</v>
      </c>
      <c r="H183" s="2" t="n">
        <v>2</v>
      </c>
      <c r="I183" s="3" t="n">
        <v>0</v>
      </c>
      <c r="J183" s="3" t="n">
        <v>2</v>
      </c>
      <c r="K183" s="2" t="inlineStr">
        <is>
          <t>光伏反规避终裁与物流成本无关</t>
        </is>
      </c>
      <c r="L183" s="2" t="inlineStr">
        <is>
          <t>美国商务部（经律所解读）</t>
        </is>
      </c>
      <c r="M183" s="2" t="inlineStr">
        <is>
          <t>Supply Chain Risk</t>
        </is>
      </c>
      <c r="N183" s="2" t="inlineStr">
        <is>
          <t>logistics</t>
        </is>
      </c>
      <c r="O183" s="2" t="inlineStr">
        <is>
          <t>WB_001</t>
        </is>
      </c>
      <c r="P183" s="2" t="inlineStr">
        <is>
          <t>如果产能从中国转移到越南、印尼或墨西哥，物流与通关效率会带来多大额外成本？有没有可量化的基准？</t>
        </is>
      </c>
      <c r="Q183" s="2" t="inlineStr">
        <is>
          <t>Evidence ID: CASE_002 Title: 美国对东南亚四国光伏产品反规避认定：视为中国原产并适用对华双反 Publisher: 美国商务部（经律所解读） Country/Jurisdiction: 柬埔寨/马来西亚/泰国/越南 Publication date: 2023-08-18 Status: CURRENT Topic: 反规避 Applicability scope: GENERAL Related industries: 光伏 Key finding: 2022年4月立案，2023年8月终裁。使用中国组件在东南亚完成的电池和组</t>
        </is>
      </c>
    </row>
    <row r="184">
      <c r="A184" s="2" t="inlineStr">
        <is>
          <t>Q037</t>
        </is>
      </c>
      <c r="B184" s="2" t="n">
        <v>3</v>
      </c>
      <c r="C184" s="2" t="inlineStr">
        <is>
          <t>TRD_001</t>
        </is>
      </c>
      <c r="D184" s="2" t="inlineStr">
        <is>
          <t>美国自中国、越南、泰国、马来西亚进口 HS 870380, 850760，2018–2025年度</t>
        </is>
      </c>
      <c r="E184" s="2" t="inlineStr">
        <is>
          <t>贸易流</t>
        </is>
      </c>
      <c r="F184" s="2" t="inlineStr">
        <is>
          <t>A+</t>
        </is>
      </c>
      <c r="G184" s="2" t="n">
        <v>1</v>
      </c>
      <c r="H184" s="2" t="n">
        <v>2</v>
      </c>
      <c r="I184" s="3" t="n">
        <v>1</v>
      </c>
      <c r="J184" s="3" t="n">
        <v>2</v>
      </c>
      <c r="K184" s="2" t="inlineStr">
        <is>
          <t>美国自中/越/泰/马进口数据可估转移规模，但不含物流与通关效率指标</t>
        </is>
      </c>
      <c r="L184" s="2" t="inlineStr">
        <is>
          <t>联合国商品贸易统计数据库（UN Comtrade）</t>
        </is>
      </c>
      <c r="M184" s="2" t="inlineStr">
        <is>
          <t>Supply Chain Risk</t>
        </is>
      </c>
      <c r="N184" s="2" t="inlineStr">
        <is>
          <t>logistics</t>
        </is>
      </c>
      <c r="O184" s="2" t="inlineStr">
        <is>
          <t>WB_001</t>
        </is>
      </c>
      <c r="P184" s="2" t="inlineStr">
        <is>
          <t>如果产能从中国转移到越南、印尼或墨西哥，物流与通关效率会带来多大额外成本？有没有可量化的基准？</t>
        </is>
      </c>
      <c r="Q184" s="2" t="inlineStr">
        <is>
          <t>Evidence ID: TRD_001 Title: 美国自中国、越南、泰国、马来西亚进口 HS 870380, 850760，2018–2025年度 Publisher: 联合国商品贸易统计数据库（UN Comtrade） Country/Jurisdiction: US / Federal Publication date: 持续更新 Status: CURRENT Topic: 贸易流 Applicability scope: GENERAL Related industries: ◆电子/光电 Key finding: HS 851762仅为光</t>
        </is>
      </c>
    </row>
    <row r="185">
      <c r="A185" s="2" t="inlineStr">
        <is>
          <t>Q037</t>
        </is>
      </c>
      <c r="B185" s="2" t="n">
        <v>4</v>
      </c>
      <c r="C185" s="2" t="inlineStr">
        <is>
          <t>DHS_001</t>
        </is>
      </c>
      <c r="D185" s="2" t="inlineStr">
        <is>
          <t>Notice Regarding the Uyghur Forced Labor Prevention Act Entity List（UFLPA 实体清单更新公告）</t>
        </is>
      </c>
      <c r="E185" s="2" t="inlineStr">
        <is>
          <t>劳工</t>
        </is>
      </c>
      <c r="F185" s="2" t="inlineStr">
        <is>
          <t>S</t>
        </is>
      </c>
      <c r="G185" s="2" t="n">
        <v>0</v>
      </c>
      <c r="H185" s="2" t="n">
        <v>2</v>
      </c>
      <c r="I185" s="3" t="n">
        <v>0</v>
      </c>
      <c r="J185" s="3" t="n">
        <v>2</v>
      </c>
      <c r="K185" s="2" t="inlineStr">
        <is>
          <t>强迫劳动合规要求与物流成本无关</t>
        </is>
      </c>
      <c r="L185" s="2" t="inlineStr">
        <is>
          <t>美国国土安全部（DHS，Federal Register）</t>
        </is>
      </c>
      <c r="M185" s="2" t="inlineStr">
        <is>
          <t>Supply Chain Risk</t>
        </is>
      </c>
      <c r="N185" s="2" t="inlineStr">
        <is>
          <t>logistics</t>
        </is>
      </c>
      <c r="O185" s="2" t="inlineStr">
        <is>
          <t>WB_001</t>
        </is>
      </c>
      <c r="P185" s="2" t="inlineStr">
        <is>
          <t>如果产能从中国转移到越南、印尼或墨西哥，物流与通关效率会带来多大额外成本？有没有可量化的基准？</t>
        </is>
      </c>
      <c r="Q185" s="2" t="inlineStr">
        <is>
          <t>Evidence ID: DHS_001 Title: Notice Regarding the Uyghur Forced Labor Prevention Act Entity List（UFLPA 实体清单更新公告） Publisher: 美国国土安全部（DHS，Federal Register） Country/Jurisdiction: US/CN / Federal Publication date: 2026-08-03 Status: CURRENT Topic: 劳工 Applicability scope: GENERAL Relat</t>
        </is>
      </c>
    </row>
    <row r="186">
      <c r="A186" s="2" t="inlineStr">
        <is>
          <t>Q037</t>
        </is>
      </c>
      <c r="B186" s="2" t="n">
        <v>5</v>
      </c>
      <c r="C186" s="2" t="inlineStr">
        <is>
          <t>EU_003</t>
        </is>
      </c>
      <c r="D186" s="2" t="inlineStr">
        <is>
          <t>Commission Implementing Regulation (EU) 2024/2754 imposing a definitive countervailing duty on imports of new battery electric vehicles originating in China（对华纯电动车最终反补贴税）</t>
        </is>
      </c>
      <c r="E186" s="2" t="inlineStr">
        <is>
          <t>关税</t>
        </is>
      </c>
      <c r="F186" s="2" t="inlineStr">
        <is>
          <t>S</t>
        </is>
      </c>
      <c r="G186" s="2" t="n">
        <v>0</v>
      </c>
      <c r="H186" s="2" t="n">
        <v>2</v>
      </c>
      <c r="I186" s="3" t="n">
        <v>0</v>
      </c>
      <c r="J186" s="3" t="n">
        <v>2</v>
      </c>
      <c r="K186" s="2" t="inlineStr">
        <is>
          <t>欧盟反补贴税属关税成本，非物流/通关效率</t>
        </is>
      </c>
      <c r="L186" s="2" t="inlineStr">
        <is>
          <t>欧盟委员会（EUR-Lex / Official Journal）</t>
        </is>
      </c>
      <c r="M186" s="2" t="inlineStr">
        <is>
          <t>Supply Chain Risk</t>
        </is>
      </c>
      <c r="N186" s="2" t="inlineStr">
        <is>
          <t>logistics</t>
        </is>
      </c>
      <c r="O186" s="2" t="inlineStr">
        <is>
          <t>WB_001</t>
        </is>
      </c>
      <c r="P186" s="2" t="inlineStr">
        <is>
          <t>如果产能从中国转移到越南、印尼或墨西哥，物流与通关效率会带来多大额外成本？有没有可量化的基准？</t>
        </is>
      </c>
      <c r="Q186" s="2" t="inlineStr">
        <is>
          <t>Evidence ID: EU_003 Title: Commission Implementing Regulation (EU) 2024/2754 imposing a definitive countervailing duty on imports of new battery electric vehicles originating in China（对华纯电动车最终反补贴税） Publisher: 欧盟委员会（EUR-Lex / Official Journal） Country/Jurisdiction: EU/CN / EU-wide</t>
        </is>
      </c>
    </row>
    <row r="187">
      <c r="A187" s="2" t="inlineStr">
        <is>
          <t>Q038</t>
        </is>
      </c>
      <c r="B187" s="2" t="n">
        <v>1</v>
      </c>
      <c r="C187" s="2" t="inlineStr">
        <is>
          <t>DHS_001</t>
        </is>
      </c>
      <c r="D187" s="2" t="inlineStr">
        <is>
          <t>Notice Regarding the Uyghur Forced Labor Prevention Act Entity List（UFLPA 实体清单更新公告）</t>
        </is>
      </c>
      <c r="E187" s="2" t="inlineStr">
        <is>
          <t>劳工</t>
        </is>
      </c>
      <c r="F187" s="2" t="inlineStr">
        <is>
          <t>S</t>
        </is>
      </c>
      <c r="G187" s="2" t="n">
        <v>2</v>
      </c>
      <c r="H187" s="2" t="n">
        <v>2</v>
      </c>
      <c r="I187" s="3" t="n">
        <v>2</v>
      </c>
      <c r="J187" s="3" t="n">
        <v>2</v>
      </c>
      <c r="K187" s="2" t="inlineStr">
        <is>
          <t>本题 expected 证据：UFLPA 实体清单的可反驳推定直接限制电池材料供应商选择</t>
        </is>
      </c>
      <c r="L187" s="2" t="inlineStr">
        <is>
          <t>美国国土安全部（DHS，Federal Register）</t>
        </is>
      </c>
      <c r="M187" s="2" t="inlineStr">
        <is>
          <t>Policy / Trade Risk</t>
        </is>
      </c>
      <c r="N187" s="2" t="inlineStr">
        <is>
          <t>labor</t>
        </is>
      </c>
      <c r="O187" s="2" t="inlineStr">
        <is>
          <t>DHS_001</t>
        </is>
      </c>
      <c r="P187" s="2" t="inlineStr">
        <is>
          <t>电池材料出口到美国时，哪些强迫劳动合规要求会直接限制我们的供应商选择？</t>
        </is>
      </c>
      <c r="Q187" s="2" t="inlineStr">
        <is>
          <t>Evidence ID: DHS_001 Title: Notice Regarding the Uyghur Forced Labor Prevention Act Entity List（UFLPA 实体清单更新公告） Publisher: 美国国土安全部（DHS，Federal Register） Country/Jurisdiction: US/CN / Federal Publication date: 2026-08-03 Status: CURRENT Topic: 劳工 Applicability scope: GENERAL Relat</t>
        </is>
      </c>
    </row>
    <row r="188">
      <c r="A188" s="2" t="inlineStr">
        <is>
          <t>Q038</t>
        </is>
      </c>
      <c r="B188" s="2" t="n">
        <v>2</v>
      </c>
      <c r="C188" s="2" t="inlineStr">
        <is>
          <t>IRS_001</t>
        </is>
      </c>
      <c r="D188" s="2" t="inlineStr">
        <is>
          <t>Clean Vehicle Credits Under Sections 25E and 30D; Transfer of Credits; Critical Minerals and Battery Components; Foreign Entities of Concern（清洁车辆抵免与FEOC最终规则）</t>
        </is>
      </c>
      <c r="E188" s="2" t="inlineStr">
        <is>
          <t>本地化政策</t>
        </is>
      </c>
      <c r="F188" s="2" t="inlineStr">
        <is>
          <t>S</t>
        </is>
      </c>
      <c r="G188" s="2" t="n">
        <v>0</v>
      </c>
      <c r="H188" s="2" t="n">
        <v>2</v>
      </c>
      <c r="I188" s="3" t="n">
        <v>1</v>
      </c>
      <c r="J188" s="3" t="n">
        <v>2</v>
      </c>
      <c r="K188" s="2" t="inlineStr">
        <is>
          <t>IRA FEOC 规则以‘外国关注实体’限制电池组件/关键矿物资格，属同类合规约束 ｜ 人工判定与Auto(0)不同，请复核</t>
        </is>
      </c>
      <c r="L188" s="2" t="inlineStr">
        <is>
          <t>美国财政部/国税局（Federal Register）</t>
        </is>
      </c>
      <c r="M188" s="2" t="inlineStr">
        <is>
          <t>Policy / Trade Risk</t>
        </is>
      </c>
      <c r="N188" s="2" t="inlineStr">
        <is>
          <t>labor</t>
        </is>
      </c>
      <c r="O188" s="2" t="inlineStr">
        <is>
          <t>DHS_001</t>
        </is>
      </c>
      <c r="P188" s="2" t="inlineStr">
        <is>
          <t>电池材料出口到美国时，哪些强迫劳动合规要求会直接限制我们的供应商选择？</t>
        </is>
      </c>
      <c r="Q188" s="2" t="inlineStr">
        <is>
          <t>Evidence ID: IRS_001 Title: Clean Vehicle Credits Under Sections 25E and 30D; Transfer of Credits; Critical Minerals and Battery Components; Foreign Entities of Concern（清洁车辆抵免与FEOC最终规则） Publisher: 美国财政部/国税局（Federal Register） Country/Jurisdiction: US / Federal Publication date: 20</t>
        </is>
      </c>
    </row>
    <row r="189">
      <c r="A189" s="2" t="inlineStr">
        <is>
          <t>Q038</t>
        </is>
      </c>
      <c r="B189" s="2" t="n">
        <v>3</v>
      </c>
      <c r="C189" s="2" t="inlineStr">
        <is>
          <t>EU_001</t>
        </is>
      </c>
      <c r="D189" s="2" t="inlineStr">
        <is>
          <t>Regulation (EU) 2023/1542 concerning batteries and waste batteries（欧盟电池与废电池法规）</t>
        </is>
      </c>
      <c r="E189" s="2" t="inlineStr">
        <is>
          <t>市场准入</t>
        </is>
      </c>
      <c r="F189" s="2" t="inlineStr">
        <is>
          <t>S</t>
        </is>
      </c>
      <c r="G189" s="2" t="n">
        <v>0</v>
      </c>
      <c r="H189" s="2" t="n">
        <v>2</v>
      </c>
      <c r="I189" s="3" t="n">
        <v>1</v>
      </c>
      <c r="J189" s="3" t="n">
        <v>2</v>
      </c>
      <c r="K189" s="2" t="inlineStr">
        <is>
          <t>欧盟电池法规的供应链尽职调查义务，属同类合规要求（欧盟侧） ｜ 人工判定与Auto(0)不同，请复核</t>
        </is>
      </c>
      <c r="L189" s="2" t="inlineStr">
        <is>
          <t>欧洲议会与欧盟理事会（EUR-Lex / Official Journal）</t>
        </is>
      </c>
      <c r="M189" s="2" t="inlineStr">
        <is>
          <t>Policy / Trade Risk</t>
        </is>
      </c>
      <c r="N189" s="2" t="inlineStr">
        <is>
          <t>labor</t>
        </is>
      </c>
      <c r="O189" s="2" t="inlineStr">
        <is>
          <t>DHS_001</t>
        </is>
      </c>
      <c r="P189" s="2" t="inlineStr">
        <is>
          <t>电池材料出口到美国时，哪些强迫劳动合规要求会直接限制我们的供应商选择？</t>
        </is>
      </c>
      <c r="Q189" s="2" t="inlineStr">
        <is>
          <t>Evidence ID: EU_001 Title: Regulation (EU) 2023/1542 concerning batteries and waste batteries（欧盟电池与废电池法规） Publisher: 欧洲议会与欧盟理事会（EUR-Lex / Official Journal） Country/Jurisdiction: EU / EU-wide Publication date: 2023-07-28 Effective date: 2023-08-17 Status: CURRENT Topic: 市场准入 Appli</t>
        </is>
      </c>
    </row>
    <row r="190">
      <c r="A190" s="2" t="inlineStr">
        <is>
          <t>Q038</t>
        </is>
      </c>
      <c r="B190" s="2" t="n">
        <v>4</v>
      </c>
      <c r="C190" s="2" t="inlineStr">
        <is>
          <t>SNE_001</t>
        </is>
      </c>
      <c r="D190" s="2" t="inlineStr">
        <is>
          <t>January-August 2026 Global EV Battery Usage Reaches 844.2 GWh, Up 19.7% Year-on-Year（2026年1–8月全球动力电池装车量快报）</t>
        </is>
      </c>
      <c r="E190" s="2" t="inlineStr">
        <is>
          <t>供应链布局</t>
        </is>
      </c>
      <c r="F190" s="2" t="inlineStr">
        <is>
          <t>B</t>
        </is>
      </c>
      <c r="G190" s="2" t="n">
        <v>1</v>
      </c>
      <c r="H190" s="2" t="n">
        <v>1</v>
      </c>
      <c r="I190" s="3" t="n">
        <v>0</v>
      </c>
      <c r="J190" s="3" t="n">
        <v>1</v>
      </c>
      <c r="K190" s="2" t="inlineStr">
        <is>
          <t>电池市场数据与强迫劳动合规无关 ｜ 人工判定与Auto(1)不同，请复核</t>
        </is>
      </c>
      <c r="L190" s="2" t="inlineStr">
        <is>
          <t>SNE Research</t>
        </is>
      </c>
      <c r="M190" s="2" t="inlineStr">
        <is>
          <t>Policy / Trade Risk</t>
        </is>
      </c>
      <c r="N190" s="2" t="inlineStr">
        <is>
          <t>labor</t>
        </is>
      </c>
      <c r="O190" s="2" t="inlineStr">
        <is>
          <t>DHS_001</t>
        </is>
      </c>
      <c r="P190" s="2" t="inlineStr">
        <is>
          <t>电池材料出口到美国时，哪些强迫劳动合规要求会直接限制我们的供应商选择？</t>
        </is>
      </c>
      <c r="Q190" s="2" t="inlineStr">
        <is>
          <t>Evidence ID: SNE_001 Title: January-August 2026 Global EV Battery Usage Reaches 844.2 GWh, Up 19.7% Year-on-Year（2026年1–8月全球动力电池装车量快报） Publisher: SNE Research Country/Jurisdiction: 全球 / Global Publication date: 2026-10-02 Status: CURRENT Topic: 供应链布局 Applicability scope: GENERAL</t>
        </is>
      </c>
    </row>
    <row r="191">
      <c r="A191" s="2" t="inlineStr">
        <is>
          <t>Q038</t>
        </is>
      </c>
      <c r="B191" s="2" t="n">
        <v>5</v>
      </c>
      <c r="C191" s="2" t="inlineStr">
        <is>
          <t>TSLA_001</t>
        </is>
      </c>
      <c r="D191" s="2" t="inlineStr">
        <is>
          <t>Tesla, Inc. Form 10-K（fiscal year ended December 31, 2025）特斯拉2025财年年报</t>
        </is>
      </c>
      <c r="E191" s="2" t="inlineStr">
        <is>
          <t>供应链布局</t>
        </is>
      </c>
      <c r="F191" s="2" t="inlineStr">
        <is>
          <t>S</t>
        </is>
      </c>
      <c r="G191" s="2" t="n">
        <v>1</v>
      </c>
      <c r="H191" s="2" t="n">
        <v>2</v>
      </c>
      <c r="I191" s="3" t="n">
        <v>0</v>
      </c>
      <c r="J191" s="3" t="n">
        <v>2</v>
      </c>
      <c r="K191" s="2" t="inlineStr">
        <is>
          <t>企业关税/供应链披露，不涉及强迫劳动合规 ｜ 人工判定与Auto(1)不同，请复核</t>
        </is>
      </c>
      <c r="L191" s="2" t="inlineStr">
        <is>
          <t>特斯拉公司（Tesla, Inc.，SEC EDGAR）</t>
        </is>
      </c>
      <c r="M191" s="2" t="inlineStr">
        <is>
          <t>Policy / Trade Risk</t>
        </is>
      </c>
      <c r="N191" s="2" t="inlineStr">
        <is>
          <t>labor</t>
        </is>
      </c>
      <c r="O191" s="2" t="inlineStr">
        <is>
          <t>DHS_001</t>
        </is>
      </c>
      <c r="P191" s="2" t="inlineStr">
        <is>
          <t>电池材料出口到美国时，哪些强迫劳动合规要求会直接限制我们的供应商选择？</t>
        </is>
      </c>
      <c r="Q191" s="2" t="inlineStr">
        <is>
          <t>Evidence ID: TSLA_001 Title: Tesla, Inc. Form 10-K（fiscal year ended December 31, 2025）特斯拉2025财年年报 Publisher: 特斯拉公司（Tesla, Inc.，SEC EDGAR） Country/Jurisdiction: US/CN/DE / Federal (SEC registrant) Publication date: 2026-01-29 Status: CURRENT Topic: 供应链布局 Applicability scope: GENE</t>
        </is>
      </c>
    </row>
    <row r="192">
      <c r="A192" s="2" t="inlineStr">
        <is>
          <t>Q039</t>
        </is>
      </c>
      <c r="B192" s="2" t="n">
        <v>1</v>
      </c>
      <c r="C192" s="2" t="inlineStr">
        <is>
          <t>SNE_001</t>
        </is>
      </c>
      <c r="D192" s="2" t="inlineStr">
        <is>
          <t>January-August 2026 Global EV Battery Usage Reaches 844.2 GWh, Up 19.7% Year-on-Year（2026年1–8月全球动力电池装车量快报）</t>
        </is>
      </c>
      <c r="E192" s="2" t="inlineStr">
        <is>
          <t>供应链布局</t>
        </is>
      </c>
      <c r="F192" s="2" t="inlineStr">
        <is>
          <t>B</t>
        </is>
      </c>
      <c r="G192" s="2" t="n">
        <v>2</v>
      </c>
      <c r="H192" s="2" t="n">
        <v>1</v>
      </c>
      <c r="I192" s="3" t="n">
        <v>2</v>
      </c>
      <c r="J192" s="3" t="n">
        <v>1</v>
      </c>
      <c r="K192" s="2" t="inlineStr">
        <is>
          <t>本题 expected 证据：1–8 月装车量 844.2GWh、宁德时代 39.4%、中国七家合计 73.3%，直接量化集中度</t>
        </is>
      </c>
      <c r="L192" s="2" t="inlineStr">
        <is>
          <t>SNE Research</t>
        </is>
      </c>
      <c r="M192" s="2" t="inlineStr">
        <is>
          <t>Supply Chain Risk</t>
        </is>
      </c>
      <c r="N192" s="2" t="inlineStr">
        <is>
          <t>supply_chain</t>
        </is>
      </c>
      <c r="O192" s="2" t="inlineStr">
        <is>
          <t>SNE_001; IEA_001</t>
        </is>
      </c>
      <c r="P192" s="2" t="inlineStr">
        <is>
          <t>全球动力电池供给的集中度到底有多高？有没有最新数据说明中国供应商的份额？</t>
        </is>
      </c>
      <c r="Q192" s="2" t="inlineStr">
        <is>
          <t>Evidence ID: SNE_001 Title: January-August 2026 Global EV Battery Usage Reaches 844.2 GWh, Up 19.7% Year-on-Year（2026年1–8月全球动力电池装车量快报） Publisher: SNE Research Country/Jurisdiction: 全球 / Global Publication date: 2026-10-02 Status: CURRENT Topic: 供应链布局 Applicability scope: GENERAL</t>
        </is>
      </c>
    </row>
    <row r="193">
      <c r="A193" s="2" t="inlineStr">
        <is>
          <t>Q039</t>
        </is>
      </c>
      <c r="B193" s="2" t="n">
        <v>2</v>
      </c>
      <c r="C193" s="2" t="inlineStr">
        <is>
          <t>DHS_001</t>
        </is>
      </c>
      <c r="D193" s="2" t="inlineStr">
        <is>
          <t>Notice Regarding the Uyghur Forced Labor Prevention Act Entity List（UFLPA 实体清单更新公告）</t>
        </is>
      </c>
      <c r="E193" s="2" t="inlineStr">
        <is>
          <t>劳工</t>
        </is>
      </c>
      <c r="F193" s="2" t="inlineStr">
        <is>
          <t>S</t>
        </is>
      </c>
      <c r="G193" s="2" t="n">
        <v>0</v>
      </c>
      <c r="H193" s="2" t="n">
        <v>2</v>
      </c>
      <c r="I193" s="3" t="n">
        <v>0</v>
      </c>
      <c r="J193" s="3" t="n">
        <v>2</v>
      </c>
      <c r="K193" s="2" t="inlineStr">
        <is>
          <t>强迫劳动清单不提供供给集中度数据</t>
        </is>
      </c>
      <c r="L193" s="2" t="inlineStr">
        <is>
          <t>美国国土安全部（DHS，Federal Register）</t>
        </is>
      </c>
      <c r="M193" s="2" t="inlineStr">
        <is>
          <t>Supply Chain Risk</t>
        </is>
      </c>
      <c r="N193" s="2" t="inlineStr">
        <is>
          <t>supply_chain</t>
        </is>
      </c>
      <c r="O193" s="2" t="inlineStr">
        <is>
          <t>SNE_001; IEA_001</t>
        </is>
      </c>
      <c r="P193" s="2" t="inlineStr">
        <is>
          <t>全球动力电池供给的集中度到底有多高？有没有最新数据说明中国供应商的份额？</t>
        </is>
      </c>
      <c r="Q193" s="2" t="inlineStr">
        <is>
          <t>Evidence ID: DHS_001 Title: Notice Regarding the Uyghur Forced Labor Prevention Act Entity List（UFLPA 实体清单更新公告） Publisher: 美国国土安全部（DHS，Federal Register） Country/Jurisdiction: US/CN / Federal Publication date: 2026-08-03 Status: CURRENT Topic: 劳工 Applicability scope: GENERAL Relat</t>
        </is>
      </c>
    </row>
    <row r="194">
      <c r="A194" s="2" t="inlineStr">
        <is>
          <t>Q039</t>
        </is>
      </c>
      <c r="B194" s="2" t="n">
        <v>3</v>
      </c>
      <c r="C194" s="2" t="inlineStr">
        <is>
          <t>EU_003</t>
        </is>
      </c>
      <c r="D194" s="2" t="inlineStr">
        <is>
          <t>Commission Implementing Regulation (EU) 2024/2754 imposing a definitive countervailing duty on imports of new battery electric vehicles originating in China（对华纯电动车最终反补贴税）</t>
        </is>
      </c>
      <c r="E194" s="2" t="inlineStr">
        <is>
          <t>关税</t>
        </is>
      </c>
      <c r="F194" s="2" t="inlineStr">
        <is>
          <t>S</t>
        </is>
      </c>
      <c r="G194" s="2" t="n">
        <v>0</v>
      </c>
      <c r="H194" s="2" t="n">
        <v>2</v>
      </c>
      <c r="I194" s="3" t="n">
        <v>0</v>
      </c>
      <c r="J194" s="3" t="n">
        <v>2</v>
      </c>
      <c r="K194" s="2" t="inlineStr">
        <is>
          <t>欧盟反补贴税属政策回应，不含集中度数据</t>
        </is>
      </c>
      <c r="L194" s="2" t="inlineStr">
        <is>
          <t>欧盟委员会（EUR-Lex / Official Journal）</t>
        </is>
      </c>
      <c r="M194" s="2" t="inlineStr">
        <is>
          <t>Supply Chain Risk</t>
        </is>
      </c>
      <c r="N194" s="2" t="inlineStr">
        <is>
          <t>supply_chain</t>
        </is>
      </c>
      <c r="O194" s="2" t="inlineStr">
        <is>
          <t>SNE_001; IEA_001</t>
        </is>
      </c>
      <c r="P194" s="2" t="inlineStr">
        <is>
          <t>全球动力电池供给的集中度到底有多高？有没有最新数据说明中国供应商的份额？</t>
        </is>
      </c>
      <c r="Q194" s="2" t="inlineStr">
        <is>
          <t>Evidence ID: EU_003 Title: Commission Implementing Regulation (EU) 2024/2754 imposing a definitive countervailing duty on imports of new battery electric vehicles originating in China（对华纯电动车最终反补贴税） Publisher: 欧盟委员会（EUR-Lex / Official Journal） Country/Jurisdiction: EU/CN / EU-wide</t>
        </is>
      </c>
    </row>
    <row r="195">
      <c r="A195" s="2" t="inlineStr">
        <is>
          <t>Q039</t>
        </is>
      </c>
      <c r="B195" s="2" t="n">
        <v>4</v>
      </c>
      <c r="C195" s="2" t="inlineStr">
        <is>
          <t>IRS_001</t>
        </is>
      </c>
      <c r="D195" s="2" t="inlineStr">
        <is>
          <t>Clean Vehicle Credits Under Sections 25E and 30D; Transfer of Credits; Critical Minerals and Battery Components; Foreign Entities of Concern（清洁车辆抵免与FEOC最终规则）</t>
        </is>
      </c>
      <c r="E195" s="2" t="inlineStr">
        <is>
          <t>本地化政策</t>
        </is>
      </c>
      <c r="F195" s="2" t="inlineStr">
        <is>
          <t>S</t>
        </is>
      </c>
      <c r="G195" s="2" t="n">
        <v>0</v>
      </c>
      <c r="H195" s="2" t="n">
        <v>2</v>
      </c>
      <c r="I195" s="3" t="n">
        <v>0</v>
      </c>
      <c r="J195" s="3" t="n">
        <v>2</v>
      </c>
      <c r="K195" s="2" t="inlineStr">
        <is>
          <t>IRA FEOC 规则属政策回应，不含集中度数据</t>
        </is>
      </c>
      <c r="L195" s="2" t="inlineStr">
        <is>
          <t>美国财政部/国税局（Federal Register）</t>
        </is>
      </c>
      <c r="M195" s="2" t="inlineStr">
        <is>
          <t>Supply Chain Risk</t>
        </is>
      </c>
      <c r="N195" s="2" t="inlineStr">
        <is>
          <t>supply_chain</t>
        </is>
      </c>
      <c r="O195" s="2" t="inlineStr">
        <is>
          <t>SNE_001; IEA_001</t>
        </is>
      </c>
      <c r="P195" s="2" t="inlineStr">
        <is>
          <t>全球动力电池供给的集中度到底有多高？有没有最新数据说明中国供应商的份额？</t>
        </is>
      </c>
      <c r="Q195" s="2" t="inlineStr">
        <is>
          <t>Evidence ID: IRS_001 Title: Clean Vehicle Credits Under Sections 25E and 30D; Transfer of Credits; Critical Minerals and Battery Components; Foreign Entities of Concern（清洁车辆抵免与FEOC最终规则） Publisher: 美国财政部/国税局（Federal Register） Country/Jurisdiction: US / Federal Publication date: 20</t>
        </is>
      </c>
    </row>
    <row r="196">
      <c r="A196" s="2" t="inlineStr">
        <is>
          <t>Q039</t>
        </is>
      </c>
      <c r="B196" s="2" t="n">
        <v>5</v>
      </c>
      <c r="C196" s="2" t="inlineStr">
        <is>
          <t>EU_001</t>
        </is>
      </c>
      <c r="D196" s="2" t="inlineStr">
        <is>
          <t>Regulation (EU) 2023/1542 concerning batteries and waste batteries（欧盟电池与废电池法规）</t>
        </is>
      </c>
      <c r="E196" s="2" t="inlineStr">
        <is>
          <t>市场准入</t>
        </is>
      </c>
      <c r="F196" s="2" t="inlineStr">
        <is>
          <t>S</t>
        </is>
      </c>
      <c r="G196" s="2" t="n">
        <v>0</v>
      </c>
      <c r="H196" s="2" t="n">
        <v>2</v>
      </c>
      <c r="I196" s="3" t="n">
        <v>0</v>
      </c>
      <c r="J196" s="3" t="n">
        <v>2</v>
      </c>
      <c r="K196" s="2" t="inlineStr">
        <is>
          <t>欧盟电池法规属准入合规，与供给集中度无关</t>
        </is>
      </c>
      <c r="L196" s="2" t="inlineStr">
        <is>
          <t>欧洲议会与欧盟理事会（EUR-Lex / Official Journal）</t>
        </is>
      </c>
      <c r="M196" s="2" t="inlineStr">
        <is>
          <t>Supply Chain Risk</t>
        </is>
      </c>
      <c r="N196" s="2" t="inlineStr">
        <is>
          <t>supply_chain</t>
        </is>
      </c>
      <c r="O196" s="2" t="inlineStr">
        <is>
          <t>SNE_001; IEA_001</t>
        </is>
      </c>
      <c r="P196" s="2" t="inlineStr">
        <is>
          <t>全球动力电池供给的集中度到底有多高？有没有最新数据说明中国供应商的份额？</t>
        </is>
      </c>
      <c r="Q196" s="2" t="inlineStr">
        <is>
          <t>Evidence ID: EU_001 Title: Regulation (EU) 2023/1542 concerning batteries and waste batteries（欧盟电池与废电池法规） Publisher: 欧洲议会与欧盟理事会（EUR-Lex / Official Journal） Country/Jurisdiction: EU / EU-wide Publication date: 2023-07-28 Effective date: 2023-08-17 Status: CURRENT Topic: 市场准入 Appli</t>
        </is>
      </c>
    </row>
    <row r="197">
      <c r="A197" s="2" t="inlineStr">
        <is>
          <t>Q040</t>
        </is>
      </c>
      <c r="B197" s="2" t="n">
        <v>1</v>
      </c>
      <c r="C197" s="2" t="inlineStr">
        <is>
          <t>USMCA_001</t>
        </is>
      </c>
      <c r="D197" s="2" t="inlineStr">
        <is>
          <t>USMCA Chapter 4: Rules of Origin（美墨加协定第4章原产地规则）</t>
        </is>
      </c>
      <c r="E197" s="2" t="inlineStr">
        <is>
          <t>原产地与转运</t>
        </is>
      </c>
      <c r="F197" s="2" t="inlineStr">
        <is>
          <t>S</t>
        </is>
      </c>
      <c r="G197" s="2" t="n">
        <v>2</v>
      </c>
      <c r="H197" s="2" t="n">
        <v>2</v>
      </c>
      <c r="I197" s="3" t="n">
        <v>2</v>
      </c>
      <c r="J197" s="3" t="n">
        <v>2</v>
      </c>
      <c r="K197" s="2" t="inlineStr">
        <is>
          <t>本题 expected 证据：墨西哥侧的原产地成分门槛（原产地门槛维度）</t>
        </is>
      </c>
      <c r="L197" s="2" t="inlineStr">
        <is>
          <t>美国贸易代表办公室（USTR）</t>
        </is>
      </c>
      <c r="M197" s="2" t="inlineStr">
        <is>
          <t>Scenario Simulation Support</t>
        </is>
      </c>
      <c r="N197" s="2" t="inlineStr">
        <is>
          <t>supply_chain</t>
        </is>
      </c>
      <c r="O197" s="2" t="inlineStr">
        <is>
          <t>USMCA_001; WTO_004; WB_001</t>
        </is>
      </c>
      <c r="P197" s="2" t="inlineStr">
        <is>
          <t>董事会要在「保留中国产能」「迁往墨西哥」「迁往印尼」之间取舍，现有证据分别能支撑哪些关键判断（原产地门槛、本地含量要求、物流成本）？</t>
        </is>
      </c>
      <c r="Q197" s="2" t="inlineStr">
        <is>
          <t>Evidence ID: USMCA_001 Title: USMCA Chapter 4: Rules of Origin（美墨加协定第4章原产地规则） Publisher: 美国贸易代表办公室（USTR） Country/Jurisdiction: US/MX/CA / Free trade area (USMCA) Publication date: 2020-07-01 Status: CURRENT Topic: 原产地与转运 Applicability scope: GENERAL Related industries: 通用 Key fin</t>
        </is>
      </c>
    </row>
    <row r="198">
      <c r="A198" s="2" t="inlineStr">
        <is>
          <t>Q040</t>
        </is>
      </c>
      <c r="B198" s="2" t="n">
        <v>2</v>
      </c>
      <c r="C198" s="2" t="inlineStr">
        <is>
          <t>WB_001</t>
        </is>
      </c>
      <c r="D198" s="2" t="inlineStr">
        <is>
          <t>Connecting to Compete 2023: Trade Logistics in an Uncertain Global Economy（2023年物流绩效指数报告）</t>
        </is>
      </c>
      <c r="E198" s="2" t="inlineStr">
        <is>
          <t>物流</t>
        </is>
      </c>
      <c r="F198" s="2" t="inlineStr">
        <is>
          <t>A+</t>
        </is>
      </c>
      <c r="G198" s="2" t="n">
        <v>2</v>
      </c>
      <c r="H198" s="2" t="n">
        <v>2</v>
      </c>
      <c r="I198" s="3" t="n">
        <v>2</v>
      </c>
      <c r="J198" s="3" t="n">
        <v>2</v>
      </c>
      <c r="K198" s="2" t="inlineStr">
        <is>
          <t>本题 expected 证据：中国/越南/印尼/墨西哥物流与海关评分（物流成本维度）</t>
        </is>
      </c>
      <c r="L198" s="2" t="inlineStr">
        <is>
          <t>世界银行（World Bank）</t>
        </is>
      </c>
      <c r="M198" s="2" t="inlineStr">
        <is>
          <t>Scenario Simulation Support</t>
        </is>
      </c>
      <c r="N198" s="2" t="inlineStr">
        <is>
          <t>supply_chain</t>
        </is>
      </c>
      <c r="O198" s="2" t="inlineStr">
        <is>
          <t>USMCA_001; WTO_004; WB_001</t>
        </is>
      </c>
      <c r="P198" s="2" t="inlineStr">
        <is>
          <t>董事会要在「保留中国产能」「迁往墨西哥」「迁往印尼」之间取舍，现有证据分别能支撑哪些关键判断（原产地门槛、本地含量要求、物流成本）？</t>
        </is>
      </c>
      <c r="Q198" s="2" t="inlineStr">
        <is>
          <t>Evidence ID: WB_001 Title: Connecting to Compete 2023: Trade Logistics in an Uncertain Global Economy（2023年物流绩效指数报告） Publisher: 世界银行（World Bank） Country/Jurisdiction: 全球 / Global Publication date: 2023-04-28 Status: CURRENT Topic: 物流 Applicability scope: GENERAL Related industrie</t>
        </is>
      </c>
    </row>
    <row r="199">
      <c r="A199" s="2" t="inlineStr">
        <is>
          <t>Q040</t>
        </is>
      </c>
      <c r="B199" s="2" t="n">
        <v>3</v>
      </c>
      <c r="C199" s="2" t="inlineStr">
        <is>
          <t>IRS_001</t>
        </is>
      </c>
      <c r="D199" s="2" t="inlineStr">
        <is>
          <t>Clean Vehicle Credits Under Sections 25E and 30D; Transfer of Credits; Critical Minerals and Battery Components; Foreign Entities of Concern（清洁车辆抵免与FEOC最终规则）</t>
        </is>
      </c>
      <c r="E199" s="2" t="inlineStr">
        <is>
          <t>本地化政策</t>
        </is>
      </c>
      <c r="F199" s="2" t="inlineStr">
        <is>
          <t>S</t>
        </is>
      </c>
      <c r="G199" s="2" t="n">
        <v>0</v>
      </c>
      <c r="H199" s="2" t="n">
        <v>2</v>
      </c>
      <c r="I199" s="3" t="n">
        <v>1</v>
      </c>
      <c r="J199" s="3" t="n">
        <v>2</v>
      </c>
      <c r="K199" s="2" t="inlineStr">
        <is>
          <t>美国 IRA 本地含量规则可作为‘迁往墨西哥后仍受美国内容门槛约束’的补充约束 ｜ 人工判定与Auto(0)不同，请复核</t>
        </is>
      </c>
      <c r="L199" s="2" t="inlineStr">
        <is>
          <t>美国财政部/国税局（Federal Register）</t>
        </is>
      </c>
      <c r="M199" s="2" t="inlineStr">
        <is>
          <t>Scenario Simulation Support</t>
        </is>
      </c>
      <c r="N199" s="2" t="inlineStr">
        <is>
          <t>supply_chain</t>
        </is>
      </c>
      <c r="O199" s="2" t="inlineStr">
        <is>
          <t>USMCA_001; WTO_004; WB_001</t>
        </is>
      </c>
      <c r="P199" s="2" t="inlineStr">
        <is>
          <t>董事会要在「保留中国产能」「迁往墨西哥」「迁往印尼」之间取舍，现有证据分别能支撑哪些关键判断（原产地门槛、本地含量要求、物流成本）？</t>
        </is>
      </c>
      <c r="Q199" s="2" t="inlineStr">
        <is>
          <t>Evidence ID: IRS_001 Title: Clean Vehicle Credits Under Sections 25E and 30D; Transfer of Credits; Critical Minerals and Battery Components; Foreign Entities of Concern（清洁车辆抵免与FEOC最终规则） Publisher: 美国财政部/国税局（Federal Register） Country/Jurisdiction: US / Federal Publication date: 20</t>
        </is>
      </c>
    </row>
    <row r="200">
      <c r="A200" s="2" t="inlineStr">
        <is>
          <t>Q040</t>
        </is>
      </c>
      <c r="B200" s="2" t="n">
        <v>4</v>
      </c>
      <c r="C200" s="2" t="inlineStr">
        <is>
          <t>WTO_004</t>
        </is>
      </c>
      <c r="D200" s="2" t="inlineStr">
        <is>
          <t>Trade Policy Review: Report by the Secretariat — Indonesia（WT/TPR/S/401）印尼第七次贸易政策审议秘书处报告</t>
        </is>
      </c>
      <c r="E200" s="2" t="inlineStr">
        <is>
          <t>本地化政策</t>
        </is>
      </c>
      <c r="F200" s="2" t="inlineStr">
        <is>
          <t>A+</t>
        </is>
      </c>
      <c r="G200" s="2" t="n">
        <v>2</v>
      </c>
      <c r="H200" s="2" t="n">
        <v>2</v>
      </c>
      <c r="I200" s="3" t="n">
        <v>2</v>
      </c>
      <c r="J200" s="3" t="n">
        <v>2</v>
      </c>
      <c r="K200" s="2" t="inlineStr">
        <is>
          <t>本题 expected 证据：印尼 TKDN 本地含量与下游化要求（本地含量维度）</t>
        </is>
      </c>
      <c r="L200" s="2" t="inlineStr">
        <is>
          <t>世界贸易组织（WTO）</t>
        </is>
      </c>
      <c r="M200" s="2" t="inlineStr">
        <is>
          <t>Scenario Simulation Support</t>
        </is>
      </c>
      <c r="N200" s="2" t="inlineStr">
        <is>
          <t>supply_chain</t>
        </is>
      </c>
      <c r="O200" s="2" t="inlineStr">
        <is>
          <t>USMCA_001; WTO_004; WB_001</t>
        </is>
      </c>
      <c r="P200" s="2" t="inlineStr">
        <is>
          <t>董事会要在「保留中国产能」「迁往墨西哥」「迁往印尼」之间取舍，现有证据分别能支撑哪些关键判断（原产地门槛、本地含量要求、物流成本）？</t>
        </is>
      </c>
      <c r="Q200" s="2" t="inlineStr">
        <is>
          <t>Evidence ID: WTO_004 Title: Trade Policy Review: Report by the Secretariat — Indonesia（WT/TPR/S/401）印尼第七次贸易政策审议秘书处报告 Publisher: 世界贸易组织（WTO） Country/Jurisdiction: ID / National Publication date: 2020-11-04 Status: CURRENT Topic: 本地化政策 Applicability scope: GENERAL Related industrie</t>
        </is>
      </c>
    </row>
    <row r="201">
      <c r="A201" s="2" t="inlineStr">
        <is>
          <t>Q040</t>
        </is>
      </c>
      <c r="B201" s="2" t="n">
        <v>5</v>
      </c>
      <c r="C201" s="2" t="inlineStr">
        <is>
          <t>CASE_002</t>
        </is>
      </c>
      <c r="D201" s="2" t="inlineStr">
        <is>
          <t>美国对东南亚四国光伏产品反规避认定：视为中国原产并适用对华双反</t>
        </is>
      </c>
      <c r="E201" s="2" t="inlineStr">
        <is>
          <t>反规避</t>
        </is>
      </c>
      <c r="F201" s="2" t="inlineStr">
        <is>
          <t>S</t>
        </is>
      </c>
      <c r="G201" s="2" t="n">
        <v>0</v>
      </c>
      <c r="H201" s="2" t="n">
        <v>2</v>
      </c>
      <c r="I201" s="3" t="n">
        <v>0</v>
      </c>
      <c r="J201" s="3" t="n">
        <v>2</v>
      </c>
      <c r="K201" s="2" t="inlineStr">
        <is>
          <t>光伏反规避判例与本题三个维度的取舍无关</t>
        </is>
      </c>
      <c r="L201" s="2" t="inlineStr">
        <is>
          <t>美国商务部（经律所解读）</t>
        </is>
      </c>
      <c r="M201" s="2" t="inlineStr">
        <is>
          <t>Scenario Simulation Support</t>
        </is>
      </c>
      <c r="N201" s="2" t="inlineStr">
        <is>
          <t>supply_chain</t>
        </is>
      </c>
      <c r="O201" s="2" t="inlineStr">
        <is>
          <t>USMCA_001; WTO_004; WB_001</t>
        </is>
      </c>
      <c r="P201" s="2" t="inlineStr">
        <is>
          <t>董事会要在「保留中国产能」「迁往墨西哥」「迁往印尼」之间取舍，现有证据分别能支撑哪些关键判断（原产地门槛、本地含量要求、物流成本）？</t>
        </is>
      </c>
      <c r="Q201" s="2" t="inlineStr">
        <is>
          <t>Evidence ID: CASE_002 Title: 美国对东南亚四国光伏产品反规避认定：视为中国原产并适用对华双反 Publisher: 美国商务部（经律所解读） Country/Jurisdiction: 柬埔寨/马来西亚/泰国/越南 Publication date: 2023-08-18 Status: CURRENT Topic: 反规避 Applicability scope: GENERAL Related industries: 光伏 Key finding: 2022年4月立案，2023年8月终裁。使用中国组件在东南亚完成的电池和组</t>
        </is>
      </c>
    </row>
  </sheetData>
  <autoFilter ref="A1:Q201"/>
  <dataValidations count="1">
    <dataValidation sqref="I2:J201" showDropDown="0" showInputMessage="0" showErrorMessage="0" allowBlank="1" type="list">
      <formula1>"0,1,2"</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8" customWidth="1" min="2" max="2"/>
    <col width="12" customWidth="1" min="3" max="3"/>
    <col width="12" customWidth="1" min="4" max="4"/>
    <col width="12" customWidth="1" min="5" max="5"/>
    <col width="12" customWidth="1" min="6" max="6"/>
    <col width="44" customWidth="1" min="7" max="7"/>
    <col width="20" customWidth="1" min="8" max="8"/>
    <col width="16" customWidth="1" min="9" max="9"/>
    <col width="60" customWidth="1" min="10" max="10"/>
    <col width="24" customWidth="1" min="11" max="11"/>
    <col width="40" customWidth="1" min="12" max="12"/>
  </cols>
  <sheetData>
    <row r="1" ht="32" customHeight="1">
      <c r="A1" s="4" t="inlineStr">
        <is>
          <t>Question ID</t>
        </is>
      </c>
      <c r="B1" s="4" t="inlineStr">
        <is>
          <t>Hit@5</t>
        </is>
      </c>
      <c r="C1" s="4" t="inlineStr">
        <is>
          <t>Gold Hits in Top-5</t>
        </is>
      </c>
      <c r="D1" s="4" t="inlineStr">
        <is>
          <t>Avg Relevance (0-2)</t>
        </is>
      </c>
      <c r="E1" s="4" t="inlineStr">
        <is>
          <t>Avg Authority (0-2)</t>
        </is>
      </c>
      <c r="F1" s="4" t="inlineStr">
        <is>
          <t>Coverage (0/1/2)</t>
        </is>
      </c>
      <c r="G1" s="4" t="inlineStr">
        <is>
          <t>Notes</t>
        </is>
      </c>
      <c r="H1" s="4" t="inlineStr">
        <is>
          <t>Scenario Category</t>
        </is>
      </c>
      <c r="I1" s="4" t="inlineStr">
        <is>
          <t>Expected Topic</t>
        </is>
      </c>
      <c r="J1" s="4" t="inlineStr">
        <is>
          <t>Question</t>
        </is>
      </c>
      <c r="K1" s="4" t="inlineStr">
        <is>
          <t>Expected Evidence IDs</t>
        </is>
      </c>
      <c r="L1" s="4" t="inlineStr">
        <is>
          <t>Top-5 Retrieved IDs</t>
        </is>
      </c>
    </row>
    <row r="2">
      <c r="A2" s="2" t="inlineStr">
        <is>
          <t>Q001</t>
        </is>
      </c>
      <c r="B2" s="2" t="n">
        <v>1</v>
      </c>
      <c r="C2" s="2" t="n">
        <v>4</v>
      </c>
      <c r="D2" s="2">
        <f>IFERROR(AVERAGEIF('Item Scoring'!$A$2:$A$201,$A2,'Item Scoring'!$I$2:$I$201),"")</f>
        <v/>
      </c>
      <c r="E2" s="3">
        <f>IFERROR(AVERAGEIF('Item Scoring'!$A$2:$A$201,$A2,'Item Scoring'!$J$2:$J$201),"")</f>
        <v/>
      </c>
      <c r="F2" s="3" t="n">
        <v>2</v>
      </c>
      <c r="G2" s="3" t="inlineStr">
        <is>
          <t>泰国产能案例（CASE_004/005/006/008）全部命中，可直接回答建厂节奏</t>
        </is>
      </c>
      <c r="H2" s="2" t="inlineStr">
        <is>
          <t>Company Intelligence</t>
        </is>
      </c>
      <c r="I2" s="2" t="inlineStr">
        <is>
          <t>supply_chain</t>
        </is>
      </c>
      <c r="J2" s="2" t="inlineStr">
        <is>
          <t>我们正在评估把部分产能转移到泰国。现有企业案例显示，哪些中国制造企业已经在泰国建设或扩充产能？这些案例能为海外建厂节奏提供什么参考？</t>
        </is>
      </c>
      <c r="K2" s="2" t="inlineStr">
        <is>
          <t>CASE_004; CASE_005; CASE_006; CASE_008</t>
        </is>
      </c>
      <c r="L2" s="2" t="inlineStr">
        <is>
          <t>CASE_005; CASE_004; CASE_001; CASE_006; CASE_008</t>
        </is>
      </c>
    </row>
    <row r="3">
      <c r="A3" s="2" t="inlineStr">
        <is>
          <t>Q002</t>
        </is>
      </c>
      <c r="B3" s="2" t="n">
        <v>1</v>
      </c>
      <c r="C3" s="2" t="n">
        <v>2</v>
      </c>
      <c r="D3" s="2">
        <f>IFERROR(AVERAGEIF('Item Scoring'!$A$2:$A$201,$A3,'Item Scoring'!$I$2:$I$201),"")</f>
        <v/>
      </c>
      <c r="E3" s="3">
        <f>IFERROR(AVERAGEIF('Item Scoring'!$A$2:$A$201,$A3,'Item Scoring'!$J$2:$J$201),"")</f>
        <v/>
      </c>
      <c r="F3" s="3" t="n">
        <v>2</v>
      </c>
      <c r="G3" s="3" t="inlineStr">
        <is>
          <t>马来西亚布局案例与美方对马来西亚原产地的官方判断均已覆盖（CASE_008未命中，由CASE_007/CASE_003/CASE_002覆盖）</t>
        </is>
      </c>
      <c r="H3" s="2" t="inlineStr">
        <is>
          <t>Company Intelligence</t>
        </is>
      </c>
      <c r="I3" s="2" t="inlineStr">
        <is>
          <t>supply_chain</t>
        </is>
      </c>
      <c r="J3" s="2" t="inlineStr">
        <is>
          <t>如果管理层想了解中国企业在马来西亚布局以降低地缘风险的公开案例，以及美国官方对马来西亚转运/原产地风险的判断，现有证据库里有哪些直接证据可参考？</t>
        </is>
      </c>
      <c r="K3" s="2" t="inlineStr">
        <is>
          <t>CASE_007; CASE_008; CASE_010</t>
        </is>
      </c>
      <c r="L3" s="2" t="inlineStr">
        <is>
          <t>CASE_007; CASE_010; CASE_003; CASE_002; TRD_003</t>
        </is>
      </c>
    </row>
    <row r="4">
      <c r="A4" s="2" t="inlineStr">
        <is>
          <t>Q003</t>
        </is>
      </c>
      <c r="B4" s="2" t="n">
        <v>1</v>
      </c>
      <c r="C4" s="2" t="n">
        <v>1</v>
      </c>
      <c r="D4" s="2">
        <f>IFERROR(AVERAGEIF('Item Scoring'!$A$2:$A$201,$A4,'Item Scoring'!$I$2:$I$201),"")</f>
        <v/>
      </c>
      <c r="E4" s="3">
        <f>IFERROR(AVERAGEIF('Item Scoring'!$A$2:$A$201,$A4,'Item Scoring'!$J$2:$J$201),"")</f>
        <v/>
      </c>
      <c r="F4" s="3" t="n">
        <v>1</v>
      </c>
      <c r="G4" s="3" t="inlineStr">
        <is>
          <t>仅 CASE_001 为直接的「回流并放弃海外建厂」实例，其余4条为东南亚扩厂案例，方向相反</t>
        </is>
      </c>
      <c r="H4" s="2" t="inlineStr">
        <is>
          <t>Company Intelligence</t>
        </is>
      </c>
      <c r="I4" s="2" t="inlineStr">
        <is>
          <t>supply_chain</t>
        </is>
      </c>
      <c r="J4" s="2" t="inlineStr">
        <is>
          <t>我们想判断企业是否会因为关税规避型海外迁移效果不佳而回流中国。现有案例中有没有订单先转移海外、随后回流并放弃海外建厂的实例？</t>
        </is>
      </c>
      <c r="K4" s="2" t="inlineStr">
        <is>
          <t>CASE_001; CASE_002; CASE_003</t>
        </is>
      </c>
      <c r="L4" s="2" t="inlineStr">
        <is>
          <t>CASE_001; CASE_008; CASE_007; CASE_004; CASE_006</t>
        </is>
      </c>
    </row>
    <row r="5">
      <c r="A5" s="2" t="inlineStr">
        <is>
          <t>Q004</t>
        </is>
      </c>
      <c r="B5" s="2" t="n">
        <v>1</v>
      </c>
      <c r="C5" s="2" t="n">
        <v>5</v>
      </c>
      <c r="D5" s="2">
        <f>IFERROR(AVERAGEIF('Item Scoring'!$A$2:$A$201,$A5,'Item Scoring'!$I$2:$I$201),"")</f>
        <v/>
      </c>
      <c r="E5" s="3">
        <f>IFERROR(AVERAGEIF('Item Scoring'!$A$2:$A$201,$A5,'Item Scoring'!$J$2:$J$201),"")</f>
        <v/>
      </c>
      <c r="F5" s="3" t="n">
        <v>2</v>
      </c>
      <c r="G5" s="3" t="inlineStr">
        <is>
          <t>gold 五条全部命中，布局与客户/地缘关系全覆盖</t>
        </is>
      </c>
      <c r="H5" s="2" t="inlineStr">
        <is>
          <t>Company Intelligence</t>
        </is>
      </c>
      <c r="I5" s="2" t="inlineStr">
        <is>
          <t>supply_chain</t>
        </is>
      </c>
      <c r="J5" s="2" t="inlineStr">
        <is>
          <t>对于计划在东南亚扩产、服务欧美客户的制造企业，现有企业案例如何说明海外工厂布局与客户合作/地缘风险之间的关系？</t>
        </is>
      </c>
      <c r="K5" s="2" t="inlineStr">
        <is>
          <t>CASE_004; CASE_005; CASE_006; CASE_007; CASE_008</t>
        </is>
      </c>
      <c r="L5" s="2" t="inlineStr">
        <is>
          <t>CASE_008; CASE_007; CASE_004; CASE_005; CASE_006</t>
        </is>
      </c>
    </row>
    <row r="6">
      <c r="A6" s="2" t="inlineStr">
        <is>
          <t>Q005</t>
        </is>
      </c>
      <c r="B6" s="2" t="n">
        <v>1</v>
      </c>
      <c r="C6" s="2" t="n">
        <v>4</v>
      </c>
      <c r="D6" s="2">
        <f>IFERROR(AVERAGEIF('Item Scoring'!$A$2:$A$201,$A6,'Item Scoring'!$I$2:$I$201),"")</f>
        <v/>
      </c>
      <c r="E6" s="3">
        <f>IFERROR(AVERAGEIF('Item Scoring'!$A$2:$A$201,$A6,'Item Scoring'!$J$2:$J$201),"")</f>
        <v/>
      </c>
      <c r="F6" s="3" t="n">
        <v>2</v>
      </c>
      <c r="G6" s="3" t="inlineStr">
        <is>
          <t>「认定规避」与「未规避」双向判例 + 官方立场齐全</t>
        </is>
      </c>
      <c r="H6" s="2" t="inlineStr">
        <is>
          <t>Company Intelligence</t>
        </is>
      </c>
      <c r="I6" s="2" t="inlineStr">
        <is>
          <t>trade_policy</t>
        </is>
      </c>
      <c r="J6" s="2" t="inlineStr">
        <is>
          <t>同样在东南亚生产，为什么有的企业可能被认定为规避、有的却没有？请用现有对照案例说明供应链结构和工序布局对结果的影响。</t>
        </is>
      </c>
      <c r="K6" s="2" t="inlineStr">
        <is>
          <t>CASE_002; CASE_003; CASE_010; DOC_001</t>
        </is>
      </c>
      <c r="L6" s="2" t="inlineStr">
        <is>
          <t>CASE_003; CASE_002; DOC_001; DHS_001; CASE_010</t>
        </is>
      </c>
    </row>
    <row r="7">
      <c r="A7" s="2" t="inlineStr">
        <is>
          <t>Q006</t>
        </is>
      </c>
      <c r="B7" s="2" t="n">
        <v>1</v>
      </c>
      <c r="C7" s="2" t="n">
        <v>4</v>
      </c>
      <c r="D7" s="2">
        <f>IFERROR(AVERAGEIF('Item Scoring'!$A$2:$A$201,$A7,'Item Scoring'!$I$2:$I$201),"")</f>
        <v/>
      </c>
      <c r="E7" s="3">
        <f>IFERROR(AVERAGEIF('Item Scoring'!$A$2:$A$201,$A7,'Item Scoring'!$J$2:$J$201),"")</f>
        <v/>
      </c>
      <c r="F7" s="3" t="n">
        <v>2</v>
      </c>
      <c r="G7" s="3" t="inlineStr">
        <is>
          <t>美方穿透规则与中方目录/暂停措施齐全</t>
        </is>
      </c>
      <c r="H7" s="2" t="inlineStr">
        <is>
          <t>Policy / Trade Risk</t>
        </is>
      </c>
      <c r="I7" s="2" t="inlineStr">
        <is>
          <t>export_control</t>
        </is>
      </c>
      <c r="J7" s="2" t="inlineStr">
        <is>
          <t>一家中国电池材料企业向美国客户出口含石墨、镓或锗相关物项时，2026年应重点核查哪些中国出口管制目录和暂停措施，以及美方关联企业（50%穿透）规则？</t>
        </is>
      </c>
      <c r="K7" s="2" t="inlineStr">
        <is>
          <t>BIS_001; BIS_002; MOFCOM_001; MOFCOM_002</t>
        </is>
      </c>
      <c r="L7" s="2" t="inlineStr">
        <is>
          <t>BIS_002; BIS_001; CASE_009; MOFCOM_002; MOFCOM_001</t>
        </is>
      </c>
    </row>
    <row r="8">
      <c r="A8" s="2" t="inlineStr">
        <is>
          <t>Q007</t>
        </is>
      </c>
      <c r="B8" s="2" t="n">
        <v>1</v>
      </c>
      <c r="C8" s="2" t="n">
        <v>4</v>
      </c>
      <c r="D8" s="2">
        <f>IFERROR(AVERAGEIF('Item Scoring'!$A$2:$A$201,$A8,'Item Scoring'!$I$2:$I$201),"")</f>
        <v/>
      </c>
      <c r="E8" s="3">
        <f>IFERROR(AVERAGEIF('Item Scoring'!$A$2:$A$201,$A8,'Item Scoring'!$J$2:$J$201),"")</f>
        <v/>
      </c>
      <c r="F8" s="3" t="n">
        <v>2</v>
      </c>
      <c r="G8" s="3" t="inlineStr">
        <is>
          <t>规则、暂停期、筛查清单齐全</t>
        </is>
      </c>
      <c r="H8" s="2" t="inlineStr">
        <is>
          <t>Policy / Trade Risk</t>
        </is>
      </c>
      <c r="I8" s="2" t="inlineStr">
        <is>
          <t>export_control</t>
        </is>
      </c>
      <c r="J8" s="2" t="inlineStr">
        <is>
          <t>美国客户的母公司或关联公司被列入Entity List或MEU List时，我们应如何判断50%持股穿透规则是否会影响交易？当前暂停期又如何改变时间判断？</t>
        </is>
      </c>
      <c r="K8" s="2" t="inlineStr">
        <is>
          <t>BIS_001; BIS_002; CASE_009; ITA_001</t>
        </is>
      </c>
      <c r="L8" s="2" t="inlineStr">
        <is>
          <t>CASE_009; BIS_001; BIS_002; ITA_001; DHS_001</t>
        </is>
      </c>
    </row>
    <row r="9">
      <c r="A9" s="2" t="inlineStr">
        <is>
          <t>Q008</t>
        </is>
      </c>
      <c r="B9" s="2" t="n">
        <v>1</v>
      </c>
      <c r="C9" s="2" t="n">
        <v>3</v>
      </c>
      <c r="D9" s="2">
        <f>IFERROR(AVERAGEIF('Item Scoring'!$A$2:$A$201,$A9,'Item Scoring'!$I$2:$I$201),"")</f>
        <v/>
      </c>
      <c r="E9" s="3">
        <f>IFERROR(AVERAGEIF('Item Scoring'!$A$2:$A$201,$A9,'Item Scoring'!$J$2:$J$201),"")</f>
        <v/>
      </c>
      <c r="F9" s="3" t="n">
        <v>2</v>
      </c>
      <c r="G9" s="3" t="inlineStr">
        <is>
          <t>暂停期与恢复规则齐全；FR_001未命中但由BIS_001/002覆盖</t>
        </is>
      </c>
      <c r="H9" s="2" t="inlineStr">
        <is>
          <t>Policy / Trade Risk</t>
        </is>
      </c>
      <c r="I9" s="2" t="inlineStr">
        <is>
          <t>export_control</t>
        </is>
      </c>
      <c r="J9" s="2" t="inlineStr">
        <is>
          <t>我们准备在2026年11月前后签署一份对美长期供货合同。BIS关联企业规则的暂停与恢复时间线会带来什么合规窗口风险？</t>
        </is>
      </c>
      <c r="K9" s="2" t="inlineStr">
        <is>
          <t>BIS_001; BIS_002; CASE_009; FR_001</t>
        </is>
      </c>
      <c r="L9" s="2" t="inlineStr">
        <is>
          <t>BIS_002; CASE_009; BIS_001; MOFCOM_002; NIO_001</t>
        </is>
      </c>
    </row>
    <row r="10">
      <c r="A10" s="2" t="inlineStr">
        <is>
          <t>Q009</t>
        </is>
      </c>
      <c r="B10" s="2" t="n">
        <v>1</v>
      </c>
      <c r="C10" s="2" t="n">
        <v>4</v>
      </c>
      <c r="D10" s="2">
        <f>IFERROR(AVERAGEIF('Item Scoring'!$A$2:$A$201,$A10,'Item Scoring'!$I$2:$I$201),"")</f>
        <v/>
      </c>
      <c r="E10" s="3">
        <f>IFERROR(AVERAGEIF('Item Scoring'!$A$2:$A$201,$A10,'Item Scoring'!$J$2:$J$201),"")</f>
        <v/>
      </c>
      <c r="F10" s="3" t="n">
        <v>2</v>
      </c>
      <c r="G10" s="3" t="inlineStr">
        <is>
          <t>政策方向、行政令与执法先例齐全</t>
        </is>
      </c>
      <c r="H10" s="2" t="inlineStr">
        <is>
          <t>Policy / Trade Risk</t>
        </is>
      </c>
      <c r="I10" s="2" t="inlineStr">
        <is>
          <t>trade_policy</t>
        </is>
      </c>
      <c r="J10" s="2" t="inlineStr">
        <is>
          <t>公司计划通过越南、泰国或马来西亚完成部分加工后出口美国。美国当前对非法转运和原产地执法的政策方向会带来哪些额外风险？</t>
        </is>
      </c>
      <c r="K10" s="2" t="inlineStr">
        <is>
          <t>WH_001; WH_002; CASE_010; CSIS_001</t>
        </is>
      </c>
      <c r="L10" s="2" t="inlineStr">
        <is>
          <t>CASE_010; WH_002; WH_001; CASE_002; CSIS_001</t>
        </is>
      </c>
    </row>
    <row r="11">
      <c r="A11" s="2" t="inlineStr">
        <is>
          <t>Q010</t>
        </is>
      </c>
      <c r="B11" s="2" t="n">
        <v>1</v>
      </c>
      <c r="C11" s="2" t="n">
        <v>3</v>
      </c>
      <c r="D11" s="2">
        <f>IFERROR(AVERAGEIF('Item Scoring'!$A$2:$A$201,$A11,'Item Scoring'!$I$2:$I$201),"")</f>
        <v/>
      </c>
      <c r="E11" s="3">
        <f>IFERROR(AVERAGEIF('Item Scoring'!$A$2:$A$201,$A11,'Item Scoring'!$J$2:$J$201),"")</f>
        <v/>
      </c>
      <c r="F11" s="3" t="n">
        <v>2</v>
      </c>
      <c r="G11" s="3" t="inlineStr">
        <is>
          <t>「认定规避」判例与美方执法立场齐全（CASE_003/DOC_001未命中，由CASE_002/WH_002替代）</t>
        </is>
      </c>
      <c r="H11" s="2" t="inlineStr">
        <is>
          <t>Policy / Trade Risk</t>
        </is>
      </c>
      <c r="I11" s="2" t="inlineStr">
        <is>
          <t>trade_policy</t>
        </is>
      </c>
      <c r="J11" s="2" t="inlineStr">
        <is>
          <t>如果我们想用历史执法案例评估‘在东南亚加工就能改变原产地并避开美国贸易救济措施’这一假设，现有证据支持什么判断？</t>
        </is>
      </c>
      <c r="K11" s="2" t="inlineStr">
        <is>
          <t>CASE_002; CASE_003; CASE_010; DOC_001; WH_002</t>
        </is>
      </c>
      <c r="L11" s="2" t="inlineStr">
        <is>
          <t>CASE_002; CASE_010; DHS_001; WH_001; WH_002</t>
        </is>
      </c>
    </row>
    <row r="12">
      <c r="A12" s="2" t="inlineStr">
        <is>
          <t>Q011</t>
        </is>
      </c>
      <c r="B12" s="2" t="n">
        <v>1</v>
      </c>
      <c r="C12" s="2" t="n">
        <v>3</v>
      </c>
      <c r="D12" s="2">
        <f>IFERROR(AVERAGEIF('Item Scoring'!$A$2:$A$201,$A12,'Item Scoring'!$I$2:$I$201),"")</f>
        <v/>
      </c>
      <c r="E12" s="3">
        <f>IFERROR(AVERAGEIF('Item Scoring'!$A$2:$A$201,$A12,'Item Scoring'!$J$2:$J$201),"")</f>
        <v/>
      </c>
      <c r="F12" s="3" t="n">
        <v>2</v>
      </c>
      <c r="G12" s="3" t="inlineStr">
        <is>
          <t>中国官方规则 + IMF/UNCTAD 国际投资环境证据齐全</t>
        </is>
      </c>
      <c r="H12" s="2" t="inlineStr">
        <is>
          <t>Policy / Trade Risk</t>
        </is>
      </c>
      <c r="I12" s="2" t="inlineStr">
        <is>
          <t>investment_policy</t>
        </is>
      </c>
      <c r="J12" s="2" t="inlineStr">
        <is>
          <t>一家中国制造企业计划新建海外工厂。2026年中国对外投资制度中有哪些官方规则、以及哪些国际投资环境证据，应纳入项目立项和合规评估？</t>
        </is>
      </c>
      <c r="K12" s="2" t="inlineStr">
        <is>
          <t>CNGOV_001; IMF_001; UNCTAD_001</t>
        </is>
      </c>
      <c r="L12" s="2" t="inlineStr">
        <is>
          <t>CNGOV_001; IMF_001; UNCTAD_001; CASE_001; DHS_001</t>
        </is>
      </c>
    </row>
    <row r="13">
      <c r="A13" s="2" t="inlineStr">
        <is>
          <t>Q012</t>
        </is>
      </c>
      <c r="B13" s="2" t="n">
        <v>1</v>
      </c>
      <c r="C13" s="2" t="n">
        <v>2</v>
      </c>
      <c r="D13" s="2">
        <f>IFERROR(AVERAGEIF('Item Scoring'!$A$2:$A$201,$A13,'Item Scoring'!$I$2:$I$201),"")</f>
        <v/>
      </c>
      <c r="E13" s="3">
        <f>IFERROR(AVERAGEIF('Item Scoring'!$A$2:$A$201,$A13,'Item Scoring'!$J$2:$J$201),"")</f>
        <v/>
      </c>
      <c r="F13" s="3" t="n">
        <v>1</v>
      </c>
      <c r="G13" s="3" t="inlineStr">
        <is>
          <t>仅 WEF/UNCTAD 命中，缺 IMF 碎片化框架与麦肯锡情景证据</t>
        </is>
      </c>
      <c r="H13" s="2" t="inlineStr">
        <is>
          <t>Policy / Trade Risk</t>
        </is>
      </c>
      <c r="I13" s="2" t="inlineStr">
        <is>
          <t>investment_policy</t>
        </is>
      </c>
      <c r="J13" s="2" t="inlineStr">
        <is>
          <t>管理层需要判断地缘经济碎片化是否会持续影响跨境投资决策。哪些国际组织证据可以支持这一政策/投资风险判断？</t>
        </is>
      </c>
      <c r="K13" s="2" t="inlineStr">
        <is>
          <t>IMF_001; MCK_001; UNCTAD_001; WEF_001</t>
        </is>
      </c>
      <c r="L13" s="2" t="inlineStr">
        <is>
          <t>WTO_002; WEF_001; UNCTAD_001; CNGOV_001; WTO_004</t>
        </is>
      </c>
    </row>
    <row r="14">
      <c r="A14" s="2" t="inlineStr">
        <is>
          <t>Q013</t>
        </is>
      </c>
      <c r="B14" s="2" t="n">
        <v>1</v>
      </c>
      <c r="C14" s="2" t="n">
        <v>5</v>
      </c>
      <c r="D14" s="2">
        <f>IFERROR(AVERAGEIF('Item Scoring'!$A$2:$A$201,$A14,'Item Scoring'!$I$2:$I$201),"")</f>
        <v/>
      </c>
      <c r="E14" s="3">
        <f>IFERROR(AVERAGEIF('Item Scoring'!$A$2:$A$201,$A14,'Item Scoring'!$J$2:$J$201),"")</f>
        <v/>
      </c>
      <c r="F14" s="3" t="n">
        <v>2</v>
      </c>
      <c r="G14" s="3" t="inlineStr">
        <is>
          <t>贸易、投资、风险三类高权威证据齐全</t>
        </is>
      </c>
      <c r="H14" s="2" t="inlineStr">
        <is>
          <t>Policy / Trade Risk</t>
        </is>
      </c>
      <c r="I14" s="2" t="inlineStr">
        <is>
          <t>trade_policy</t>
        </is>
      </c>
      <c r="J14" s="2" t="inlineStr">
        <is>
          <t>我们需要给董事会解释2026年全球贸易环境是否正在恶化，以及这种环境为什么会提高海外布局的不确定性。现有高权威证据有哪些？</t>
        </is>
      </c>
      <c r="K14" s="2" t="inlineStr">
        <is>
          <t>IMF_001; MCK_001; UNCTAD_001; WEF_001; WTO_001</t>
        </is>
      </c>
      <c r="L14" s="2" t="inlineStr">
        <is>
          <t>IMF_001; UNCTAD_001; WTO_001; MCK_001; WEF_001</t>
        </is>
      </c>
    </row>
    <row r="15">
      <c r="A15" s="2" t="inlineStr">
        <is>
          <t>Q014</t>
        </is>
      </c>
      <c r="B15" s="2" t="n">
        <v>1</v>
      </c>
      <c r="C15" s="2" t="n">
        <v>4</v>
      </c>
      <c r="D15" s="2">
        <f>IFERROR(AVERAGEIF('Item Scoring'!$A$2:$A$201,$A15,'Item Scoring'!$I$2:$I$201),"")</f>
        <v/>
      </c>
      <c r="E15" s="3">
        <f>IFERROR(AVERAGEIF('Item Scoring'!$A$2:$A$201,$A15,'Item Scoring'!$J$2:$J$201),"")</f>
        <v/>
      </c>
      <c r="F15" s="3" t="n">
        <v>2</v>
      </c>
      <c r="G15" s="3" t="inlineStr">
        <is>
          <t>筛查数据源与应关注规则齐全</t>
        </is>
      </c>
      <c r="H15" s="2" t="inlineStr">
        <is>
          <t>Policy / Trade Risk</t>
        </is>
      </c>
      <c r="I15" s="2" t="inlineStr">
        <is>
          <t>export_control</t>
        </is>
      </c>
      <c r="J15" s="2" t="inlineStr">
        <is>
          <t>合规团队要建立美国受限方筛查流程。现有证据库中哪个官方数据源最适合用于企业/客户名称筛查？同时应关注哪些出口管制规则？</t>
        </is>
      </c>
      <c r="K15" s="2" t="inlineStr">
        <is>
          <t>BIS_001; BIS_002; CASE_009; ITA_001</t>
        </is>
      </c>
      <c r="L15" s="2" t="inlineStr">
        <is>
          <t>ITA_001; CASE_009; BIS_002; BIS_001; NIO_001</t>
        </is>
      </c>
    </row>
    <row r="16">
      <c r="A16" s="2" t="inlineStr">
        <is>
          <t>Q015</t>
        </is>
      </c>
      <c r="B16" s="2" t="n">
        <v>1</v>
      </c>
      <c r="C16" s="2" t="n">
        <v>2</v>
      </c>
      <c r="D16" s="2">
        <f>IFERROR(AVERAGEIF('Item Scoring'!$A$2:$A$201,$A16,'Item Scoring'!$I$2:$I$201),"")</f>
        <v/>
      </c>
      <c r="E16" s="3">
        <f>IFERROR(AVERAGEIF('Item Scoring'!$A$2:$A$201,$A16,'Item Scoring'!$J$2:$J$201),"")</f>
        <v/>
      </c>
      <c r="F16" s="3" t="n">
        <v>2</v>
      </c>
      <c r="G16" s="3" t="inlineStr">
        <is>
          <t>新规监测与受限方筛查两个入口均命中</t>
        </is>
      </c>
      <c r="H16" s="2" t="inlineStr">
        <is>
          <t>Policy / Trade Risk</t>
        </is>
      </c>
      <c r="I16" s="2" t="inlineStr">
        <is>
          <t>regulation</t>
        </is>
      </c>
      <c r="J16" s="2" t="inlineStr">
        <is>
          <t>我们希望持续监控美国BIS、USTR、CBP等机构发布的新规，以便及时发现关税或出口管制变化；同时要对客户和交易方做受限方筛查。现有证据库中哪些官方入口分别适合作为新规监测与受限方筛查的数据源？</t>
        </is>
      </c>
      <c r="K16" s="2" t="inlineStr">
        <is>
          <t>FR_001; ITA_001</t>
        </is>
      </c>
      <c r="L16" s="2" t="inlineStr">
        <is>
          <t>FR_001; ITA_001; CASE_009; BIS_002; BIS_001</t>
        </is>
      </c>
    </row>
    <row r="17">
      <c r="A17" s="2" t="inlineStr">
        <is>
          <t>Q016</t>
        </is>
      </c>
      <c r="B17" s="2" t="n">
        <v>1</v>
      </c>
      <c r="C17" s="2" t="n">
        <v>2</v>
      </c>
      <c r="D17" s="2">
        <f>IFERROR(AVERAGEIF('Item Scoring'!$A$2:$A$201,$A17,'Item Scoring'!$I$2:$I$201),"")</f>
        <v/>
      </c>
      <c r="E17" s="3">
        <f>IFERROR(AVERAGEIF('Item Scoring'!$A$2:$A$201,$A17,'Item Scoring'!$J$2:$J$201),"")</f>
        <v/>
      </c>
      <c r="F17" s="3" t="n">
        <v>2</v>
      </c>
      <c r="G17" s="3" t="inlineStr">
        <is>
          <t>贸易数据两侧 + 政策侧证据齐全</t>
        </is>
      </c>
      <c r="H17" s="2" t="inlineStr">
        <is>
          <t>Supply Chain Risk</t>
        </is>
      </c>
      <c r="I17" s="2" t="inlineStr">
        <is>
          <t>supply_chain</t>
        </is>
      </c>
      <c r="J17" s="2" t="inlineStr">
        <is>
          <t>我们要判断美国EV/电池进口是否正在从中国向越南、泰国、马来西亚转移。现有哪组贸易数据与政策证据最直接支持这个供应链迁移分析？</t>
        </is>
      </c>
      <c r="K17" s="2" t="inlineStr">
        <is>
          <t>CASE_010; TRD_001; TRD_003</t>
        </is>
      </c>
      <c r="L17" s="2" t="inlineStr">
        <is>
          <t>TRD_001; TRD_003; CASE_003; TRD_002; DHS_001</t>
        </is>
      </c>
    </row>
    <row r="18">
      <c r="A18" s="2" t="inlineStr">
        <is>
          <t>Q017</t>
        </is>
      </c>
      <c r="B18" s="2" t="n">
        <v>1</v>
      </c>
      <c r="C18" s="2" t="n">
        <v>4</v>
      </c>
      <c r="D18" s="2">
        <f>IFERROR(AVERAGEIF('Item Scoring'!$A$2:$A$201,$A18,'Item Scoring'!$I$2:$I$201),"")</f>
        <v/>
      </c>
      <c r="E18" s="3">
        <f>IFERROR(AVERAGEIF('Item Scoring'!$A$2:$A$201,$A18,'Item Scoring'!$J$2:$J$201),"")</f>
        <v/>
      </c>
      <c r="F18" s="3" t="n">
        <v>2</v>
      </c>
      <c r="G18" s="3" t="inlineStr">
        <is>
          <t>数据与政策可组合回答</t>
        </is>
      </c>
      <c r="H18" s="2" t="inlineStr">
        <is>
          <t>Supply Chain Risk</t>
        </is>
      </c>
      <c r="I18" s="2" t="inlineStr">
        <is>
          <t>supplier_dependency</t>
        </is>
      </c>
      <c r="J18" s="2" t="inlineStr">
        <is>
          <t>如果东南亚工厂仍大量依赖来自中国的中间品，企业的‘China+1’布局可能存在哪类供应商依赖和原产地风险？现有数据与政策证据如何组合？</t>
        </is>
      </c>
      <c r="K18" s="2" t="inlineStr">
        <is>
          <t>CASE_010; CSIS_001; TRD_003; WH_002</t>
        </is>
      </c>
      <c r="L18" s="2" t="inlineStr">
        <is>
          <t>TRD_003; CASE_010; WH_002; CSIS_001; WTO_001</t>
        </is>
      </c>
    </row>
    <row r="19">
      <c r="A19" s="2" t="inlineStr">
        <is>
          <t>Q018</t>
        </is>
      </c>
      <c r="B19" s="2" t="n">
        <v>1</v>
      </c>
      <c r="C19" s="2" t="n">
        <v>3</v>
      </c>
      <c r="D19" s="2">
        <f>IFERROR(AVERAGEIF('Item Scoring'!$A$2:$A$201,$A19,'Item Scoring'!$I$2:$I$201),"")</f>
        <v/>
      </c>
      <c r="E19" s="3">
        <f>IFERROR(AVERAGEIF('Item Scoring'!$A$2:$A$201,$A19,'Item Scoring'!$J$2:$J$201),"")</f>
        <v/>
      </c>
      <c r="F19" s="3" t="n">
        <v>2</v>
      </c>
      <c r="G19" s="3" t="inlineStr">
        <is>
          <t>案例与贸易数据充足；CASE_003未命中但CASE_002覆盖原产地认定</t>
        </is>
      </c>
      <c r="H19" s="2" t="inlineStr">
        <is>
          <t>Supply Chain Risk</t>
        </is>
      </c>
      <c r="I19" s="2" t="inlineStr">
        <is>
          <t>supply_chain</t>
        </is>
      </c>
      <c r="J19" s="2" t="inlineStr">
        <is>
          <t>管理层正在比较中国本土生产与东南亚生产。现有案例是否表明仅把最终生产环节迁往东南亚并不能完全隔离贸易与供应链风险？</t>
        </is>
      </c>
      <c r="K19" s="2" t="inlineStr">
        <is>
          <t>CASE_001; CASE_002; CASE_003; CASE_008; TRD_003</t>
        </is>
      </c>
      <c r="L19" s="2" t="inlineStr">
        <is>
          <t>CASE_002; TRD_003; CASE_008; DHS_001; TRD_001</t>
        </is>
      </c>
    </row>
    <row r="20">
      <c r="A20" s="2" t="inlineStr">
        <is>
          <t>Q019</t>
        </is>
      </c>
      <c r="B20" s="2" t="n">
        <v>1</v>
      </c>
      <c r="C20" s="2" t="n">
        <v>3</v>
      </c>
      <c r="D20" s="2">
        <f>IFERROR(AVERAGEIF('Item Scoring'!$A$2:$A$201,$A20,'Item Scoring'!$I$2:$I$201),"")</f>
        <v/>
      </c>
      <c r="E20" s="3">
        <f>IFERROR(AVERAGEIF('Item Scoring'!$A$2:$A$201,$A20,'Item Scoring'!$J$2:$J$201),"")</f>
        <v/>
      </c>
      <c r="F20" s="3" t="n">
        <v>2</v>
      </c>
      <c r="G20" s="3" t="inlineStr">
        <is>
          <t>企业案例 + KPMG供应链调查齐全</t>
        </is>
      </c>
      <c r="H20" s="2" t="inlineStr">
        <is>
          <t>Supply Chain Risk</t>
        </is>
      </c>
      <c r="I20" s="2" t="inlineStr">
        <is>
          <t>supply_chain</t>
        </is>
      </c>
      <c r="J20" s="2" t="inlineStr">
        <is>
          <t>我们要做供应链韧性方案，哪些证据可以说明大企业正在调整供应链布局，以及企业在海外扩产时可能面临哪些执行风险？</t>
        </is>
      </c>
      <c r="K20" s="2" t="inlineStr">
        <is>
          <t>CASE_001; CASE_004; CASE_005; CASE_006; CASE_008; KPMG_001</t>
        </is>
      </c>
      <c r="L20" s="2" t="inlineStr">
        <is>
          <t>CASE_001; KPMG_001; SNE_001; CASE_003; CASE_008</t>
        </is>
      </c>
    </row>
    <row r="21">
      <c r="A21" s="2" t="inlineStr">
        <is>
          <t>Q020</t>
        </is>
      </c>
      <c r="B21" s="2" t="n">
        <v>1</v>
      </c>
      <c r="C21" s="2" t="n">
        <v>4</v>
      </c>
      <c r="D21" s="2">
        <f>IFERROR(AVERAGEIF('Item Scoring'!$A$2:$A$201,$A21,'Item Scoring'!$I$2:$I$201),"")</f>
        <v/>
      </c>
      <c r="E21" s="3">
        <f>IFERROR(AVERAGEIF('Item Scoring'!$A$2:$A$201,$A21,'Item Scoring'!$J$2:$J$201),"")</f>
        <v/>
      </c>
      <c r="F21" s="3" t="n">
        <v>2</v>
      </c>
      <c r="G21" s="3" t="inlineStr">
        <is>
          <t>中间品依赖与转运审查证据齐全；CSIS_001未命中由WH_002/CASE_010覆盖</t>
        </is>
      </c>
      <c r="H21" s="2" t="inlineStr">
        <is>
          <t>Supply Chain Risk</t>
        </is>
      </c>
      <c r="I21" s="2" t="inlineStr">
        <is>
          <t>supplier_dependency</t>
        </is>
      </c>
      <c r="J21" s="2" t="inlineStr">
        <is>
          <t>如果公司计划把关键产能集中在泰国或马来西亚，现有证据如何支持对地理集中、非法转运审查和中间品依赖进行联合评估？</t>
        </is>
      </c>
      <c r="K21" s="2" t="inlineStr">
        <is>
          <t>CASE_010; CSIS_001; TRD_001; TRD_003; WH_002</t>
        </is>
      </c>
      <c r="L21" s="2" t="inlineStr">
        <is>
          <t>TRD_003; WH_002; CSIS_001; TRD_001; WTO_001</t>
        </is>
      </c>
    </row>
    <row r="22">
      <c r="A22" s="2" t="inlineStr">
        <is>
          <t>Q021</t>
        </is>
      </c>
      <c r="B22" s="2" t="n">
        <v>1</v>
      </c>
      <c r="C22" s="2" t="n">
        <v>4</v>
      </c>
      <c r="D22" s="2">
        <f>IFERROR(AVERAGEIF('Item Scoring'!$A$2:$A$201,$A22,'Item Scoring'!$I$2:$I$201),"")</f>
        <v/>
      </c>
      <c r="E22" s="3">
        <f>IFERROR(AVERAGEIF('Item Scoring'!$A$2:$A$201,$A22,'Item Scoring'!$J$2:$J$201),"")</f>
        <v/>
      </c>
      <c r="F22" s="3" t="n">
        <v>2</v>
      </c>
      <c r="G22" s="3" t="inlineStr">
        <is>
          <t>执法证据齐全，足以否定「仅凭申报原产地」</t>
        </is>
      </c>
      <c r="H22" s="2" t="inlineStr">
        <is>
          <t>Market Access</t>
        </is>
      </c>
      <c r="I22" s="2" t="inlineStr">
        <is>
          <t>market_access</t>
        </is>
      </c>
      <c r="J22" s="2" t="inlineStr">
        <is>
          <t>我们在越南生产后出口美国，能否仅凭申报的越南原产地降低美国市场准入风险？现有证据对真实组件来源和原产地举证提出了什么警示？</t>
        </is>
      </c>
      <c r="K22" s="2" t="inlineStr">
        <is>
          <t>CASE_002; CASE_010; CSIS_001; WH_001; WH_002</t>
        </is>
      </c>
      <c r="L22" s="2" t="inlineStr">
        <is>
          <t>CASE_010; CSIS_001; WH_002; USMCA_001; WH_001</t>
        </is>
      </c>
    </row>
    <row r="23">
      <c r="A23" s="2" t="inlineStr">
        <is>
          <t>Q022</t>
        </is>
      </c>
      <c r="B23" s="2" t="n">
        <v>1</v>
      </c>
      <c r="C23" s="2" t="n">
        <v>3</v>
      </c>
      <c r="D23" s="2">
        <f>IFERROR(AVERAGEIF('Item Scoring'!$A$2:$A$201,$A23,'Item Scoring'!$I$2:$I$201),"")</f>
        <v/>
      </c>
      <c r="E23" s="3">
        <f>IFERROR(AVERAGEIF('Item Scoring'!$A$2:$A$201,$A23,'Item Scoring'!$J$2:$J$201),"")</f>
        <v/>
      </c>
      <c r="F23" s="3" t="n">
        <v>2</v>
      </c>
      <c r="G23" s="3" t="inlineStr">
        <is>
          <t>受限方筛查数据源与规则齐全（BIS_001/002 + CASE_009 + ITA_001）</t>
        </is>
      </c>
      <c r="H23" s="2" t="inlineStr">
        <is>
          <t>Market Access</t>
        </is>
      </c>
      <c r="I23" s="2" t="inlineStr">
        <is>
          <t>export_control</t>
        </is>
      </c>
      <c r="J23" s="2" t="inlineStr">
        <is>
          <t>一家电池材料企业担心客户或客户关联方被美国限制清单覆盖。哪些证据最适合评估这类市场准入风险？</t>
        </is>
      </c>
      <c r="K23" s="2" t="inlineStr">
        <is>
          <t>BIS_001; BIS_002; CASE_009; ITA_001</t>
        </is>
      </c>
      <c r="L23" s="2" t="inlineStr">
        <is>
          <t>BIS_001; BIS_002; CASE_009; DHS_001; EU_001</t>
        </is>
      </c>
    </row>
    <row r="24">
      <c r="A24" s="2" t="inlineStr">
        <is>
          <t>Q023</t>
        </is>
      </c>
      <c r="B24" s="2" t="n">
        <v>1</v>
      </c>
      <c r="C24" s="2" t="n">
        <v>5</v>
      </c>
      <c r="D24" s="2">
        <f>IFERROR(AVERAGEIF('Item Scoring'!$A$2:$A$201,$A24,'Item Scoring'!$I$2:$I$201),"")</f>
        <v/>
      </c>
      <c r="E24" s="3">
        <f>IFERROR(AVERAGEIF('Item Scoring'!$A$2:$A$201,$A24,'Item Scoring'!$J$2:$J$201),"")</f>
        <v/>
      </c>
      <c r="F24" s="3" t="n">
        <v>2</v>
      </c>
      <c r="G24" s="3" t="inlineStr">
        <is>
          <t>官方终裁 + 双向判例齐全</t>
        </is>
      </c>
      <c r="H24" s="2" t="inlineStr">
        <is>
          <t>Market Access</t>
        </is>
      </c>
      <c r="I24" s="2" t="inlineStr">
        <is>
          <t>market_access</t>
        </is>
      </c>
      <c r="J24" s="2" t="inlineStr">
        <is>
          <t>我们考虑在泰国或越南建立面向美国市场的生产基地。光伏反规避案例对‘海外生产即可获得美国市场准入’这一判断有什么借鉴？</t>
        </is>
      </c>
      <c r="K24" s="2" t="inlineStr">
        <is>
          <t>CASE_002; CASE_003; CASE_010; DOC_001; WH_002</t>
        </is>
      </c>
      <c r="L24" s="2" t="inlineStr">
        <is>
          <t>CASE_002; DOC_001; CASE_003; WH_002; CASE_010</t>
        </is>
      </c>
    </row>
    <row r="25">
      <c r="A25" s="2" t="inlineStr">
        <is>
          <t>Q024</t>
        </is>
      </c>
      <c r="B25" s="2" t="n">
        <v>1</v>
      </c>
      <c r="C25" s="2" t="n">
        <v>5</v>
      </c>
      <c r="D25" s="2">
        <f>IFERROR(AVERAGEIF('Item Scoring'!$A$2:$A$201,$A25,'Item Scoring'!$I$2:$I$201),"")</f>
        <v/>
      </c>
      <c r="E25" s="3">
        <f>IFERROR(AVERAGEIF('Item Scoring'!$A$2:$A$201,$A25,'Item Scoring'!$J$2:$J$201),"")</f>
        <v/>
      </c>
      <c r="F25" s="3" t="n">
        <v>2</v>
      </c>
      <c r="G25" s="3" t="inlineStr">
        <is>
          <t>机会侧与风险侧证据齐全</t>
        </is>
      </c>
      <c r="H25" s="2" t="inlineStr">
        <is>
          <t>Market Access</t>
        </is>
      </c>
      <c r="I25" s="2" t="inlineStr">
        <is>
          <t>market_access</t>
        </is>
      </c>
      <c r="J25" s="2" t="inlineStr">
        <is>
          <t>董事会想比较东南亚布局带来的市场准入机会与美国强化转运执法带来的风险。现有证据库中哪些政策和企业案例应一起看？</t>
        </is>
      </c>
      <c r="K25" s="2" t="inlineStr">
        <is>
          <t>CASE_007; CASE_008; CASE_010; CSIS_001; WH_001; WH_002</t>
        </is>
      </c>
      <c r="L25" s="2" t="inlineStr">
        <is>
          <t>CASE_010; WH_002; WH_001; CSIS_001; CASE_008</t>
        </is>
      </c>
    </row>
    <row r="26">
      <c r="A26" s="2" t="inlineStr">
        <is>
          <t>Q025</t>
        </is>
      </c>
      <c r="B26" s="2" t="n">
        <v>1</v>
      </c>
      <c r="C26" s="2" t="n">
        <v>3</v>
      </c>
      <c r="D26" s="2">
        <f>IFERROR(AVERAGEIF('Item Scoring'!$A$2:$A$201,$A26,'Item Scoring'!$I$2:$I$201),"")</f>
        <v/>
      </c>
      <c r="E26" s="3">
        <f>IFERROR(AVERAGEIF('Item Scoring'!$A$2:$A$201,$A26,'Item Scoring'!$J$2:$J$201),"")</f>
        <v/>
      </c>
      <c r="F26" s="3" t="n">
        <v>2</v>
      </c>
      <c r="G26" s="3" t="inlineStr">
        <is>
          <t>宏观证据齐全</t>
        </is>
      </c>
      <c r="H26" s="2" t="inlineStr">
        <is>
          <t>Market Access</t>
        </is>
      </c>
      <c r="I26" s="2" t="inlineStr">
        <is>
          <t>trade_policy</t>
        </is>
      </c>
      <c r="J26" s="2" t="inlineStr">
        <is>
          <t>如果全球贸易增速放缓、跨境投资更加偏向战略行业，公司进入海外市场时应如何理解外部需求与投资环境？哪些宏观证据最相关？</t>
        </is>
      </c>
      <c r="K26" s="2" t="inlineStr">
        <is>
          <t>IMF_001; MCK_001; UNCTAD_001; WEF_001; WTO_001</t>
        </is>
      </c>
      <c r="L26" s="2" t="inlineStr">
        <is>
          <t>UNCTAD_001; WTO_001; IMF_001; WTO_002; WTO_003</t>
        </is>
      </c>
    </row>
    <row r="27">
      <c r="A27" s="2" t="inlineStr">
        <is>
          <t>Q026</t>
        </is>
      </c>
      <c r="B27" s="2" t="n">
        <v>1</v>
      </c>
      <c r="C27" s="2" t="n">
        <v>4</v>
      </c>
      <c r="D27" s="2">
        <f>IFERROR(AVERAGEIF('Item Scoring'!$A$2:$A$201,$A27,'Item Scoring'!$I$2:$I$201),"")</f>
        <v/>
      </c>
      <c r="E27" s="3">
        <f>IFERROR(AVERAGEIF('Item Scoring'!$A$2:$A$201,$A27,'Item Scoring'!$J$2:$J$201),"")</f>
        <v/>
      </c>
      <c r="F27" s="3" t="n">
        <v>2</v>
      </c>
      <c r="G27" s="3" t="inlineStr">
        <is>
          <t>两种情景均有直接依据（ITA_001未命中由BIS_001/002覆盖）</t>
        </is>
      </c>
      <c r="H27" s="2" t="inlineStr">
        <is>
          <t>Scenario Simulation Support</t>
        </is>
      </c>
      <c r="I27" s="2" t="inlineStr">
        <is>
          <t>export_control</t>
        </is>
      </c>
      <c r="J27" s="2" t="inlineStr">
        <is>
          <t>情景A：BIS 50%关联企业规则按计划恢复；情景B：暂停继续延长。对于依赖美国客户的制造企业，两种情景下应重点比较哪些合规和客户准入影响？</t>
        </is>
      </c>
      <c r="K27" s="2" t="inlineStr">
        <is>
          <t>BIS_001; BIS_002; CASE_009; FR_001; ITA_001</t>
        </is>
      </c>
      <c r="L27" s="2" t="inlineStr">
        <is>
          <t>BIS_002; CASE_009; BIS_001; CASE_001; FR_001</t>
        </is>
      </c>
    </row>
    <row r="28">
      <c r="A28" s="2" t="inlineStr">
        <is>
          <t>Q027</t>
        </is>
      </c>
      <c r="B28" s="2" t="n">
        <v>1</v>
      </c>
      <c r="C28" s="2" t="n">
        <v>4</v>
      </c>
      <c r="D28" s="2">
        <f>IFERROR(AVERAGEIF('Item Scoring'!$A$2:$A$201,$A28,'Item Scoring'!$I$2:$I$201),"")</f>
        <v/>
      </c>
      <c r="E28" s="3">
        <f>IFERROR(AVERAGEIF('Item Scoring'!$A$2:$A$201,$A28,'Item Scoring'!$J$2:$J$201),"")</f>
        <v/>
      </c>
      <c r="F28" s="3" t="n">
        <v>2</v>
      </c>
      <c r="G28" s="3" t="inlineStr">
        <is>
          <t>反规避与转运证据齐全</t>
        </is>
      </c>
      <c r="H28" s="2" t="inlineStr">
        <is>
          <t>Scenario Simulation Support</t>
        </is>
      </c>
      <c r="I28" s="2" t="inlineStr">
        <is>
          <t>trade_policy</t>
        </is>
      </c>
      <c r="J28" s="2" t="inlineStr">
        <is>
          <t>情景A：公司继续从中国直接出口美国；情景B：将部分工序迁至东南亚。基于现有反规避和转运证据，哪种方案的贸易风险更低，评估时必须检查哪些条件？</t>
        </is>
      </c>
      <c r="K28" s="2" t="inlineStr">
        <is>
          <t>DOC_001; CASE_002; CASE_003; WH_002; CSIS_001</t>
        </is>
      </c>
      <c r="L28" s="2" t="inlineStr">
        <is>
          <t>CASE_002; DOC_001; CASE_003; WH_002; TRD_003</t>
        </is>
      </c>
    </row>
    <row r="29">
      <c r="A29" s="2" t="inlineStr">
        <is>
          <t>Q028</t>
        </is>
      </c>
      <c r="B29" s="2" t="n">
        <v>1</v>
      </c>
      <c r="C29" s="2" t="n">
        <v>5</v>
      </c>
      <c r="D29" s="2">
        <f>IFERROR(AVERAGEIF('Item Scoring'!$A$2:$A$201,$A29,'Item Scoring'!$I$2:$I$201),"")</f>
        <v/>
      </c>
      <c r="E29" s="3">
        <f>IFERROR(AVERAGEIF('Item Scoring'!$A$2:$A$201,$A29,'Item Scoring'!$J$2:$J$201),"")</f>
        <v/>
      </c>
      <c r="F29" s="3" t="n">
        <v>2</v>
      </c>
      <c r="G29" s="3" t="inlineStr">
        <is>
          <t>依赖数据与判定规则齐全</t>
        </is>
      </c>
      <c r="H29" s="2" t="inlineStr">
        <is>
          <t>Scenario Simulation Support</t>
        </is>
      </c>
      <c r="I29" s="2" t="inlineStr">
        <is>
          <t>supplier_dependency</t>
        </is>
      </c>
      <c r="J29" s="2" t="inlineStr">
        <is>
          <t>情景A：东南亚工厂继续大量采购中国中间品；情景B：提高当地供应商比例。现有证据如何支持比较两种方案的供应链依赖与原产地风险？</t>
        </is>
      </c>
      <c r="K29" s="2" t="inlineStr">
        <is>
          <t>CASE_002; CASE_003; CASE_010; CSIS_001; TRD_003; WH_002</t>
        </is>
      </c>
      <c r="L29" s="2" t="inlineStr">
        <is>
          <t>TRD_003; CASE_002; WH_002; CASE_003; CASE_010</t>
        </is>
      </c>
    </row>
    <row r="30">
      <c r="A30" s="2" t="inlineStr">
        <is>
          <t>Q029</t>
        </is>
      </c>
      <c r="B30" s="2" t="n">
        <v>1</v>
      </c>
      <c r="C30" s="2" t="n">
        <v>3</v>
      </c>
      <c r="D30" s="2">
        <f>IFERROR(AVERAGEIF('Item Scoring'!$A$2:$A$201,$A30,'Item Scoring'!$I$2:$I$201),"")</f>
        <v/>
      </c>
      <c r="E30" s="3">
        <f>IFERROR(AVERAGEIF('Item Scoring'!$A$2:$A$201,$A30,'Item Scoring'!$J$2:$J$201),"")</f>
        <v/>
      </c>
      <c r="F30" s="3" t="n">
        <v>1</v>
      </c>
      <c r="G30" s="3" t="inlineStr">
        <is>
          <t>缺企业供应链调查证据（KPMG_001）与麦肯锡情景证据</t>
        </is>
      </c>
      <c r="H30" s="2" t="inlineStr">
        <is>
          <t>Scenario Simulation Support</t>
        </is>
      </c>
      <c r="I30" s="2" t="inlineStr">
        <is>
          <t>investment_policy</t>
        </is>
      </c>
      <c r="J30" s="2" t="inlineStr">
        <is>
          <t>情景A：立即启动海外建厂；情景B：延后投资等待贸易政策更清晰。管理层应参考哪些投资政策、全球投资趋势和企业供应链调查证据？</t>
        </is>
      </c>
      <c r="K30" s="2" t="inlineStr">
        <is>
          <t>CNGOV_001; UNCTAD_001; IMF_001; KPMG_001; MCK_001</t>
        </is>
      </c>
      <c r="L30" s="2" t="inlineStr">
        <is>
          <t>IMF_001; WTO_002; WTO_001; CNGOV_001; UNCTAD_001</t>
        </is>
      </c>
    </row>
    <row r="31">
      <c r="A31" s="2" t="inlineStr">
        <is>
          <t>Q030</t>
        </is>
      </c>
      <c r="B31" s="2" t="n">
        <v>1</v>
      </c>
      <c r="C31" s="2" t="n">
        <v>3</v>
      </c>
      <c r="D31" s="2">
        <f>IFERROR(AVERAGEIF('Item Scoring'!$A$2:$A$201,$A31,'Item Scoring'!$I$2:$I$201),"")</f>
        <v/>
      </c>
      <c r="E31" s="3">
        <f>IFERROR(AVERAGEIF('Item Scoring'!$A$2:$A$201,$A31,'Item Scoring'!$J$2:$J$201),"")</f>
        <v/>
      </c>
      <c r="F31" s="3" t="n">
        <v>1</v>
      </c>
      <c r="G31" s="3" t="inlineStr">
        <is>
          <t>贸易数据与执法证据齐全，但泰国产能案例（CASE_004/005/006）未命中，情景A支撑不足</t>
        </is>
      </c>
      <c r="H31" s="2" t="inlineStr">
        <is>
          <t>Scenario Simulation Support</t>
        </is>
      </c>
      <c r="I31" s="2" t="inlineStr">
        <is>
          <t>supply_chain</t>
        </is>
      </c>
      <c r="J31" s="2" t="inlineStr">
        <is>
          <t>情景A：把泰国作为单一海外生产中心；情景B：在泰国和马来西亚分散布局。基于现有企业案例、美国转运执法和贸易数据，应该如何比较两种方案的集中度与市场准入风险？</t>
        </is>
      </c>
      <c r="K31" s="2" t="inlineStr">
        <is>
          <t>CASE_004; CASE_005; CASE_006; CASE_007; WH_002; CASE_010; TRD_001</t>
        </is>
      </c>
      <c r="L31" s="2" t="inlineStr">
        <is>
          <t>CASE_010; WH_002; WH_001; CASE_002; CASE_007</t>
        </is>
      </c>
    </row>
    <row r="32">
      <c r="A32" s="2" t="inlineStr">
        <is>
          <t>Q031</t>
        </is>
      </c>
      <c r="B32" s="2" t="n">
        <v>1</v>
      </c>
      <c r="C32" s="2" t="n">
        <v>1</v>
      </c>
      <c r="D32" s="2">
        <f>IFERROR(AVERAGEIF('Item Scoring'!$A$2:$A$201,$A32,'Item Scoring'!$I$2:$I$201),"")</f>
        <v/>
      </c>
      <c r="E32" s="3">
        <f>IFERROR(AVERAGEIF('Item Scoring'!$A$2:$A$201,$A32,'Item Scoring'!$J$2:$J$201),"")</f>
        <v/>
      </c>
      <c r="F32" s="3" t="n">
        <v>2</v>
      </c>
      <c r="G32" s="3" t="inlineStr">
        <is>
          <t>gold（TSLA_001）命中且排名第1，制造布局与关税影响可直接回答</t>
        </is>
      </c>
      <c r="H32" s="2" t="inlineStr">
        <is>
          <t>Company Intelligence</t>
        </is>
      </c>
      <c r="I32" s="2" t="inlineStr">
        <is>
          <t>supply_chain</t>
        </is>
      </c>
      <c r="J32" s="2" t="inlineStr">
        <is>
          <t>我们在评估把电池与整车产能分散到中国以外，是否真能降低关税与物流成本。特斯拉最新年报对其全球制造布局与关税影响的原始披露说明了什么？</t>
        </is>
      </c>
      <c r="K32" s="2" t="inlineStr">
        <is>
          <t>TSLA_001</t>
        </is>
      </c>
      <c r="L32" s="2" t="inlineStr">
        <is>
          <t>TSLA_001; EU_003; UST_001; DHS_001; SNE_001</t>
        </is>
      </c>
    </row>
    <row r="33">
      <c r="A33" s="2" t="inlineStr">
        <is>
          <t>Q032</t>
        </is>
      </c>
      <c r="B33" s="2" t="n">
        <v>1</v>
      </c>
      <c r="C33" s="2" t="n">
        <v>2</v>
      </c>
      <c r="D33" s="2">
        <f>IFERROR(AVERAGEIF('Item Scoring'!$A$2:$A$201,$A33,'Item Scoring'!$I$2:$I$201),"")</f>
        <v/>
      </c>
      <c r="E33" s="3">
        <f>IFERROR(AVERAGEIF('Item Scoring'!$A$2:$A$201,$A33,'Item Scoring'!$J$2:$J$201),"")</f>
        <v/>
      </c>
      <c r="F33" s="3" t="n">
        <v>2</v>
      </c>
      <c r="G33" s="3" t="inlineStr">
        <is>
          <t>三家 gold（NIO_001/XPEV_001/LI_001）全部命中，分别排名1–2</t>
        </is>
      </c>
      <c r="H33" s="2" t="inlineStr">
        <is>
          <t>Company Intelligence</t>
        </is>
      </c>
      <c r="I33" s="2" t="inlineStr">
        <is>
          <t>export_control</t>
        </is>
      </c>
      <c r="J33" s="2" t="inlineStr">
        <is>
          <t>如果管理层要评估美国对华出口管制与关税升级对整车企业采购端的直接影响，蔚来、小鹏、理想三家在美股年报中分别披露了哪些制造基地，以及哪些与出口管制/关税相关的供应链风险？</t>
        </is>
      </c>
      <c r="K33" s="2" t="inlineStr">
        <is>
          <t>NIO_001; XPEV_001; LI_001</t>
        </is>
      </c>
      <c r="L33" s="2" t="inlineStr">
        <is>
          <t>NIO_001; XPEV_001; FR_001; MOFCOM_002; ITA_001</t>
        </is>
      </c>
    </row>
    <row r="34">
      <c r="A34" s="2" t="inlineStr">
        <is>
          <t>Q033</t>
        </is>
      </c>
      <c r="B34" s="2" t="n">
        <v>1</v>
      </c>
      <c r="C34" s="2" t="n">
        <v>1</v>
      </c>
      <c r="D34" s="2">
        <f>IFERROR(AVERAGEIF('Item Scoring'!$A$2:$A$201,$A34,'Item Scoring'!$I$2:$I$201),"")</f>
        <v/>
      </c>
      <c r="E34" s="3">
        <f>IFERROR(AVERAGEIF('Item Scoring'!$A$2:$A$201,$A34,'Item Scoring'!$J$2:$J$201),"")</f>
        <v/>
      </c>
      <c r="F34" s="3" t="n">
        <v>2</v>
      </c>
      <c r="G34" s="3" t="inlineStr">
        <is>
          <t>gold（ALB_001）命中且排名第1，锂资源/加工布局与贸易政策风险可答</t>
        </is>
      </c>
      <c r="H34" s="2" t="inlineStr">
        <is>
          <t>Company Intelligence</t>
        </is>
      </c>
      <c r="I34" s="2" t="inlineStr">
        <is>
          <t>supply_chain</t>
        </is>
      </c>
      <c r="J34" s="2" t="inlineStr">
        <is>
          <t>我们要评估锂盐供应在贸易政策变化下的脆弱性。雅保（Albemarle）最新年报如何披露其锂资源与转化加工的全球布局，以及相关的贸易政策风险？</t>
        </is>
      </c>
      <c r="K34" s="2" t="inlineStr">
        <is>
          <t>ALB_001</t>
        </is>
      </c>
      <c r="L34" s="2" t="inlineStr">
        <is>
          <t>ALB_001; DHS_001; SNE_001; WH_002; TRD_001</t>
        </is>
      </c>
    </row>
    <row r="35">
      <c r="A35" s="2" t="inlineStr">
        <is>
          <t>Q034</t>
        </is>
      </c>
      <c r="B35" s="2" t="n">
        <v>1</v>
      </c>
      <c r="C35" s="2" t="n">
        <v>1</v>
      </c>
      <c r="D35" s="2">
        <f>IFERROR(AVERAGEIF('Item Scoring'!$A$2:$A$201,$A35,'Item Scoring'!$I$2:$I$201),"")</f>
        <v/>
      </c>
      <c r="E35" s="3">
        <f>IFERROR(AVERAGEIF('Item Scoring'!$A$2:$A$201,$A35,'Item Scoring'!$J$2:$J$201),"")</f>
        <v/>
      </c>
      <c r="F35" s="3" t="n">
        <v>2</v>
      </c>
      <c r="G35" s="3" t="inlineStr">
        <is>
          <t>gold（USMCA_001）命中且排名第1，75%/65% 原产地门槛可答</t>
        </is>
      </c>
      <c r="H35" s="2" t="inlineStr">
        <is>
          <t>Market Access</t>
        </is>
      </c>
      <c r="I35" s="2" t="inlineStr">
        <is>
          <t>trade_policy</t>
        </is>
      </c>
      <c r="J35" s="2" t="inlineStr">
        <is>
          <t>假设我们把电池包组装放在墨西哥、电芯仍从中国采购，要享受USMCA优惠关税必须满足什么原产地成分门槛？</t>
        </is>
      </c>
      <c r="K35" s="2" t="inlineStr">
        <is>
          <t>USMCA_001</t>
        </is>
      </c>
      <c r="L35" s="2" t="inlineStr">
        <is>
          <t>USMCA_001; DHS_001; CSIS_001; SNE_001; IRS_001</t>
        </is>
      </c>
    </row>
    <row r="36">
      <c r="A36" s="2" t="inlineStr">
        <is>
          <t>Q035</t>
        </is>
      </c>
      <c r="B36" s="2" t="n">
        <v>1</v>
      </c>
      <c r="C36" s="2" t="n">
        <v>2</v>
      </c>
      <c r="D36" s="2">
        <f>IFERROR(AVERAGEIF('Item Scoring'!$A$2:$A$201,$A36,'Item Scoring'!$I$2:$I$201),"")</f>
        <v/>
      </c>
      <c r="E36" s="3">
        <f>IFERROR(AVERAGEIF('Item Scoring'!$A$2:$A$201,$A36,'Item Scoring'!$J$2:$J$201),"")</f>
        <v/>
      </c>
      <c r="F36" s="3" t="n">
        <v>2</v>
      </c>
      <c r="G36" s="3" t="inlineStr">
        <is>
          <t>两份 India gold（WTO_002/WTO_003）全部命中，排名1–2（关税水平 + 政策基线）</t>
        </is>
      </c>
      <c r="H36" s="2" t="inlineStr">
        <is>
          <t>Policy / Trade Risk</t>
        </is>
      </c>
      <c r="I36" s="2" t="inlineStr">
        <is>
          <t>tariff</t>
        </is>
      </c>
      <c r="J36" s="2" t="inlineStr">
        <is>
          <t>我们准备在印度本地建厂以服务当地市场，印度当前的进口关税水平与贸易/本地化政策基线是什么？</t>
        </is>
      </c>
      <c r="K36" s="2" t="inlineStr">
        <is>
          <t>WTO_002; WTO_003</t>
        </is>
      </c>
      <c r="L36" s="2" t="inlineStr">
        <is>
          <t>WTO_002; WTO_003; DHS_001; IRS_001; WTO_004</t>
        </is>
      </c>
    </row>
    <row r="37">
      <c r="A37" s="2" t="inlineStr">
        <is>
          <t>Q036</t>
        </is>
      </c>
      <c r="B37" s="2" t="n">
        <v>1</v>
      </c>
      <c r="C37" s="2" t="n">
        <v>1</v>
      </c>
      <c r="D37" s="2">
        <f>IFERROR(AVERAGEIF('Item Scoring'!$A$2:$A$201,$A37,'Item Scoring'!$I$2:$I$201),"")</f>
        <v/>
      </c>
      <c r="E37" s="3">
        <f>IFERROR(AVERAGEIF('Item Scoring'!$A$2:$A$201,$A37,'Item Scoring'!$J$2:$J$201),"")</f>
        <v/>
      </c>
      <c r="F37" s="3" t="n">
        <v>2</v>
      </c>
      <c r="G37" s="3" t="inlineStr">
        <is>
          <t>gold（WTO_004）命中且排名第1，TKDN 本地含量与镍下游化要求可答</t>
        </is>
      </c>
      <c r="H37" s="2" t="inlineStr">
        <is>
          <t>Market Access</t>
        </is>
      </c>
      <c r="I37" s="2" t="inlineStr">
        <is>
          <t>localization_policy</t>
        </is>
      </c>
      <c r="J37" s="2" t="inlineStr">
        <is>
          <t>印尼对镍与电池产业链设置了哪些本地含量和矿产下游化要求，会影响我们在当地的投资与采购安排？</t>
        </is>
      </c>
      <c r="K37" s="2" t="inlineStr">
        <is>
          <t>WTO_004</t>
        </is>
      </c>
      <c r="L37" s="2" t="inlineStr">
        <is>
          <t>WTO_004; DHS_001; IRS_001; EU_001; SNE_001</t>
        </is>
      </c>
    </row>
    <row r="38">
      <c r="A38" s="2" t="inlineStr">
        <is>
          <t>Q037</t>
        </is>
      </c>
      <c r="B38" s="2" t="n">
        <v>1</v>
      </c>
      <c r="C38" s="2" t="n">
        <v>1</v>
      </c>
      <c r="D38" s="2">
        <f>IFERROR(AVERAGEIF('Item Scoring'!$A$2:$A$201,$A38,'Item Scoring'!$I$2:$I$201),"")</f>
        <v/>
      </c>
      <c r="E38" s="3">
        <f>IFERROR(AVERAGEIF('Item Scoring'!$A$2:$A$201,$A38,'Item Scoring'!$J$2:$J$201),"")</f>
        <v/>
      </c>
      <c r="F38" s="3" t="n">
        <v>2</v>
      </c>
      <c r="G38" s="3" t="inlineStr">
        <is>
          <t>gold（WB_001）命中且排名第1，可给出中国/越南/印尼/墨西哥物流基准</t>
        </is>
      </c>
      <c r="H38" s="2" t="inlineStr">
        <is>
          <t>Supply Chain Risk</t>
        </is>
      </c>
      <c r="I38" s="2" t="inlineStr">
        <is>
          <t>logistics</t>
        </is>
      </c>
      <c r="J38" s="2" t="inlineStr">
        <is>
          <t>如果产能从中国转移到越南、印尼或墨西哥，物流与通关效率会带来多大额外成本？有没有可量化的基准？</t>
        </is>
      </c>
      <c r="K38" s="2" t="inlineStr">
        <is>
          <t>WB_001</t>
        </is>
      </c>
      <c r="L38" s="2" t="inlineStr">
        <is>
          <t>WB_001; CASE_002; TRD_001; DHS_001; EU_003</t>
        </is>
      </c>
    </row>
    <row r="39">
      <c r="A39" s="2" t="inlineStr">
        <is>
          <t>Q038</t>
        </is>
      </c>
      <c r="B39" s="2" t="n">
        <v>1</v>
      </c>
      <c r="C39" s="2" t="n">
        <v>1</v>
      </c>
      <c r="D39" s="2">
        <f>IFERROR(AVERAGEIF('Item Scoring'!$A$2:$A$201,$A39,'Item Scoring'!$I$2:$I$201),"")</f>
        <v/>
      </c>
      <c r="E39" s="3">
        <f>IFERROR(AVERAGEIF('Item Scoring'!$A$2:$A$201,$A39,'Item Scoring'!$J$2:$J$201),"")</f>
        <v/>
      </c>
      <c r="F39" s="3" t="n">
        <v>2</v>
      </c>
      <c r="G39" s="3" t="inlineStr">
        <is>
          <t>gold（DHS_001）命中且排名第1，UFLPA 可反驳推定对电池材料的约束可答</t>
        </is>
      </c>
      <c r="H39" s="2" t="inlineStr">
        <is>
          <t>Policy / Trade Risk</t>
        </is>
      </c>
      <c r="I39" s="2" t="inlineStr">
        <is>
          <t>labor</t>
        </is>
      </c>
      <c r="J39" s="2" t="inlineStr">
        <is>
          <t>电池材料出口到美国时，哪些强迫劳动合规要求会直接限制我们的供应商选择？</t>
        </is>
      </c>
      <c r="K39" s="2" t="inlineStr">
        <is>
          <t>DHS_001</t>
        </is>
      </c>
      <c r="L39" s="2" t="inlineStr">
        <is>
          <t>DHS_001; IRS_001; EU_001; SNE_001; TSLA_001</t>
        </is>
      </c>
    </row>
    <row r="40">
      <c r="A40" s="2" t="inlineStr">
        <is>
          <t>Q039</t>
        </is>
      </c>
      <c r="B40" s="2" t="n">
        <v>1</v>
      </c>
      <c r="C40" s="2" t="n">
        <v>1</v>
      </c>
      <c r="D40" s="2">
        <f>IFERROR(AVERAGEIF('Item Scoring'!$A$2:$A$201,$A40,'Item Scoring'!$I$2:$I$201),"")</f>
        <v/>
      </c>
      <c r="E40" s="3">
        <f>IFERROR(AVERAGEIF('Item Scoring'!$A$2:$A$201,$A40,'Item Scoring'!$J$2:$J$201),"")</f>
        <v/>
      </c>
      <c r="F40" s="3" t="n">
        <v>1</v>
      </c>
      <c r="G40" s="3" t="inlineStr">
        <is>
          <t>仅 SNE_001 命中（排名第1），IEA_001 未进 Top-5，集中度证据覆盖不完整</t>
        </is>
      </c>
      <c r="H40" s="2" t="inlineStr">
        <is>
          <t>Supply Chain Risk</t>
        </is>
      </c>
      <c r="I40" s="2" t="inlineStr">
        <is>
          <t>supply_chain</t>
        </is>
      </c>
      <c r="J40" s="2" t="inlineStr">
        <is>
          <t>全球动力电池供给的集中度到底有多高？有没有最新数据说明中国供应商的份额？</t>
        </is>
      </c>
      <c r="K40" s="2" t="inlineStr">
        <is>
          <t>SNE_001; IEA_001</t>
        </is>
      </c>
      <c r="L40" s="2" t="inlineStr">
        <is>
          <t>SNE_001; DHS_001; EU_003; IRS_001; EU_001</t>
        </is>
      </c>
    </row>
    <row r="41">
      <c r="A41" s="2" t="inlineStr">
        <is>
          <t>Q040</t>
        </is>
      </c>
      <c r="B41" s="2" t="n">
        <v>1</v>
      </c>
      <c r="C41" s="2" t="n">
        <v>3</v>
      </c>
      <c r="D41" s="2">
        <f>IFERROR(AVERAGEIF('Item Scoring'!$A$2:$A$201,$A41,'Item Scoring'!$I$2:$I$201),"")</f>
        <v/>
      </c>
      <c r="E41" s="3">
        <f>IFERROR(AVERAGEIF('Item Scoring'!$A$2:$A$201,$A41,'Item Scoring'!$J$2:$J$201),"")</f>
        <v/>
      </c>
      <c r="F41" s="3" t="n">
        <v>2</v>
      </c>
      <c r="G41" s="3" t="inlineStr">
        <is>
          <t>三份 gold（USMCA_001/WB_001/WTO_004）全部命中，三个维度均有直接证据</t>
        </is>
      </c>
      <c r="H41" s="2" t="inlineStr">
        <is>
          <t>Scenario Simulation Support</t>
        </is>
      </c>
      <c r="I41" s="2" t="inlineStr">
        <is>
          <t>supply_chain</t>
        </is>
      </c>
      <c r="J41" s="2" t="inlineStr">
        <is>
          <t>董事会要在「保留中国产能」「迁往墨西哥」「迁往印尼」之间取舍，现有证据分别能支撑哪些关键判断（原产地门槛、本地含量要求、物流成本）？</t>
        </is>
      </c>
      <c r="K41" s="2" t="inlineStr">
        <is>
          <t>USMCA_001; WTO_004; WB_001</t>
        </is>
      </c>
      <c r="L41" s="2" t="inlineStr">
        <is>
          <t>USMCA_001; WB_001; IRS_001; WTO_004; CASE_002</t>
        </is>
      </c>
    </row>
  </sheetData>
  <dataValidations count="1">
    <dataValidation sqref="F2:F41"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46" customWidth="1" min="1" max="1"/>
    <col width="14" customWidth="1" min="2" max="2"/>
    <col width="16" customWidth="1" min="3" max="3"/>
    <col width="12" customWidth="1" min="4" max="4"/>
  </cols>
  <sheetData>
    <row r="1">
      <c r="A1" s="5" t="inlineStr">
        <is>
          <t>Task 2 — Human Evaluation Summary</t>
        </is>
      </c>
      <c r="B1" s="6" t="inlineStr">
        <is>
          <t>Value</t>
        </is>
      </c>
      <c r="C1" s="6" t="inlineStr">
        <is>
          <t>Target</t>
        </is>
      </c>
      <c r="D1" s="6" t="inlineStr">
        <is>
          <t>Status</t>
        </is>
      </c>
    </row>
    <row r="2">
      <c r="A2" t="inlineStr">
        <is>
          <t>Questions</t>
        </is>
      </c>
      <c r="B2" t="n">
        <v>30</v>
      </c>
      <c r="C2" t="inlineStr">
        <is>
          <t>30 questions</t>
        </is>
      </c>
    </row>
    <row r="3"/>
    <row r="4">
      <c r="A4" t="inlineStr">
        <is>
          <t>Primary metrics (auto-calculated from Question Scoring)</t>
        </is>
      </c>
    </row>
    <row r="5">
      <c r="A5" t="inlineStr">
        <is>
          <t>Avg Relevance (Top-5, 0-2)</t>
        </is>
      </c>
      <c r="B5" s="7">
        <f>AVERAGE('Question Scoring'!$D$2:$D$41)</f>
        <v/>
      </c>
      <c r="C5" t="inlineStr">
        <is>
          <t>&gt;= 1.5</t>
        </is>
      </c>
      <c r="D5">
        <f>IF(B5="","",IF(B5&gt;=1.5,"PASS","FAIL"))</f>
        <v/>
      </c>
    </row>
    <row r="6">
      <c r="A6" t="inlineStr">
        <is>
          <t>Avg Authority (Top-5, 0-2)</t>
        </is>
      </c>
      <c r="B6" s="7">
        <f>AVERAGE('Question Scoring'!$E$2:$E$41)</f>
        <v/>
      </c>
      <c r="C6" t="inlineStr">
        <is>
          <t>&gt;= 1.5</t>
        </is>
      </c>
      <c r="D6">
        <f>IF(B6="","",IF(B6&gt;=1.5,"PASS","FAIL"))</f>
        <v/>
      </c>
    </row>
    <row r="7">
      <c r="A7" t="inlineStr">
        <is>
          <t>Hit@5 rate (&gt;=1 correct evidence in Top-5)</t>
        </is>
      </c>
      <c r="B7" s="8">
        <f>AVERAGE('Question Scoring'!$B$2:$B$41)</f>
        <v/>
      </c>
      <c r="C7" t="inlineStr">
        <is>
          <t>&gt;= 80%</t>
        </is>
      </c>
      <c r="D7">
        <f>IF(B7="","",IF(B7&gt;=0.8,"PASS","FAIL"))</f>
        <v/>
      </c>
    </row>
    <row r="8">
      <c r="A8" t="inlineStr">
        <is>
          <t>Avg Coverage (0-2)</t>
        </is>
      </c>
      <c r="B8" s="7">
        <f>IFERROR(AVERAGE('Question Scoring'!$F$2:$F$41),"")</f>
        <v/>
      </c>
      <c r="C8" t="inlineStr">
        <is>
          <t>report</t>
        </is>
      </c>
      <c r="D8" t="inlineStr">
        <is>
          <t>report only</t>
        </is>
      </c>
    </row>
    <row r="9"/>
    <row r="10">
      <c r="A10" t="inlineStr">
        <is>
          <t>Note</t>
        </is>
      </c>
      <c r="B10" t="inlineStr">
        <is>
          <t>Fill the yellow cells first — Summary updates automatically.</t>
        </is>
      </c>
    </row>
    <row r="12">
      <c r="A12" s="10" t="inlineStr">
        <is>
          <t>Scoring pass</t>
        </is>
      </c>
      <c r="B12" t="inlineStr">
        <is>
          <t>AI-assisted pre-scoring (content-based, keyed by evidence_id). Review flagged rows before finalising.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22" customWidth="1" min="1" max="1"/>
    <col width="8" customWidth="1" min="2" max="2"/>
    <col width="110" customWidth="1" min="3" max="3"/>
  </cols>
  <sheetData>
    <row r="1">
      <c r="A1" s="6" t="inlineStr">
        <is>
          <t>Dimension</t>
        </is>
      </c>
      <c r="B1" s="6" t="inlineStr">
        <is>
          <t>Score</t>
        </is>
      </c>
      <c r="C1" s="6" t="inlineStr">
        <is>
          <t>Definition</t>
        </is>
      </c>
    </row>
    <row r="2">
      <c r="A2" s="9" t="inlineStr">
        <is>
          <t>Relevance</t>
        </is>
      </c>
      <c r="B2" s="9" t="n">
        <v>2</v>
      </c>
      <c r="C2" s="9" t="inlineStr">
        <is>
          <t>Retrieved evidence directly answers / directly supports the question. (Usually: it is in Expected Evidence IDs.)</t>
        </is>
      </c>
    </row>
    <row r="3">
      <c r="A3" s="9" t="inlineStr">
        <is>
          <t>Relevance</t>
        </is>
      </c>
      <c r="B3" s="9" t="n">
        <v>1</v>
      </c>
      <c r="C3" s="9" t="inlineStr">
        <is>
          <t>Partially relevant — same topic bucket, usable as supporting context but not a direct answer.</t>
        </is>
      </c>
    </row>
    <row r="4">
      <c r="A4" s="9" t="inlineStr">
        <is>
          <t>Relevance</t>
        </is>
      </c>
      <c r="B4" s="9" t="n">
        <v>0</v>
      </c>
      <c r="C4" s="9" t="inlineStr">
        <is>
          <t>Irrelevant to the question.</t>
        </is>
      </c>
    </row>
    <row r="5">
      <c r="A5" s="9" t="inlineStr">
        <is>
          <t>Authority</t>
        </is>
      </c>
      <c r="B5" s="9" t="n">
        <v>2</v>
      </c>
      <c r="C5" s="9" t="inlineStr">
        <is>
          <t>S / A+ / A source — government regulation, official company filing, WTO/UN/World Bank, IMF, CSIS, McKinsey, industry association.</t>
        </is>
      </c>
    </row>
    <row r="6">
      <c r="A6" s="9" t="inlineStr">
        <is>
          <t>Authority</t>
        </is>
      </c>
      <c r="B6" s="9" t="n">
        <v>1</v>
      </c>
      <c r="C6" s="9" t="inlineStr">
        <is>
          <t>B+ source — consulting reports, market research, brokerage / media summaries.</t>
        </is>
      </c>
    </row>
    <row r="7">
      <c r="A7" s="9" t="inlineStr">
        <is>
          <t>Authority</t>
        </is>
      </c>
      <c r="B7" s="9" t="n">
        <v>0</v>
      </c>
      <c r="C7" s="9" t="inlineStr">
        <is>
          <t>Low-quality or unverifiable source.</t>
        </is>
      </c>
    </row>
    <row r="8">
      <c r="A8" s="9" t="inlineStr">
        <is>
          <t>Coverage</t>
        </is>
      </c>
      <c r="B8" s="9" t="n">
        <v>2</v>
      </c>
      <c r="C8" s="9" t="inlineStr">
        <is>
          <t>Retrieval found enough evidence to answer the question end-to-end.</t>
        </is>
      </c>
    </row>
    <row r="9">
      <c r="A9" s="9" t="inlineStr">
        <is>
          <t>Coverage</t>
        </is>
      </c>
      <c r="B9" s="9" t="n">
        <v>1</v>
      </c>
      <c r="C9" s="9" t="inlineStr">
        <is>
          <t>Partial — some but not all facets covered.</t>
        </is>
      </c>
    </row>
    <row r="10">
      <c r="A10" s="9" t="inlineStr">
        <is>
          <t>Coverage</t>
        </is>
      </c>
      <c r="B10" s="9" t="n">
        <v>0</v>
      </c>
      <c r="C10" s="9" t="inlineStr">
        <is>
          <t>No usable supporting evidence retrieved.</t>
        </is>
      </c>
    </row>
    <row r="11">
      <c r="A11" s="9" t="inlineStr"/>
      <c r="B11" s="9" t="n"/>
      <c r="C11" s="9" t="inlineStr"/>
    </row>
    <row r="12">
      <c r="A12" s="9" t="inlineStr">
        <is>
          <t>How to score</t>
        </is>
      </c>
      <c r="B12" s="9" t="n"/>
      <c r="C12" s="9" t="inlineStr">
        <is>
          <t>Score every retrieved item in 'Item Scoring' (yellow cells). Then give one Coverage score and Notes per question in 'Question Scoring'.</t>
        </is>
      </c>
    </row>
    <row r="13">
      <c r="A13" s="9" t="inlineStr">
        <is>
          <t>Auto columns</t>
        </is>
      </c>
      <c r="B13" s="9" t="n"/>
      <c r="C13" s="9" t="inlineStr">
        <is>
          <t>Auto Relevance = 2 if the item is in Expected Evidence IDs, 1 if its topic is in the question's topic bucket, else 0. Auto Authority = 2 for S/A+/A, 1 for B+/B.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2026-10-14T14:02:19Z</dcterms:created>
  <dcterms:modified xsi:type="dcterms:W3CDTF">2026-10-14T14:02:21Z</dcterms:modified>
</cp:coreProperties>
</file>