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Question Scoring" sheetId="2" state="visible" r:id="rId2"/>
    <sheet name="Summary" sheetId="3" state="visible" r:id="rId3"/>
    <sheet name="Rubric" sheetId="4" state="visible" r:id="rId4"/>
  </sheets>
  <definedNames>
    <definedName name="_xlnm._FilterDatabase" localSheetId="0" hidden="1">'Item Scoring'!$A$1:$Q$216</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5">
    <font>
      <name val="Calibri"/>
      <family val="2"/>
      <color theme="1"/>
      <sz val="11"/>
      <scheme val="minor"/>
    </font>
    <font>
      <b val="1"/>
      <color rgb="00FFFFFF"/>
      <sz val="11"/>
    </font>
    <font>
      <b val="1"/>
      <color rgb="00FFFFFF"/>
    </font>
    <font>
      <b val="1"/>
      <color rgb="00FFFFFF"/>
      <sz val="12"/>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CASE_005</t>
        </is>
      </c>
      <c r="D2" s="2" t="inlineStr">
        <is>
          <t>新易盛：2022年设立泰国基地，一二期已投产</t>
        </is>
      </c>
      <c r="E2" s="2" t="inlineStr">
        <is>
          <t>供应链布局</t>
        </is>
      </c>
      <c r="F2" s="2" t="inlineStr">
        <is>
          <t>B+</t>
        </is>
      </c>
      <c r="G2" s="2" t="n">
        <v>2</v>
      </c>
      <c r="H2" s="2" t="n">
        <v>1</v>
      </c>
      <c r="I2" s="3" t="n">
        <v>2</v>
      </c>
      <c r="J2" s="3" t="n">
        <v>1</v>
      </c>
      <c r="K2" s="2" t="inlineStr">
        <is>
          <t>新易盛泰国基地一二期已投产，直接案例</t>
        </is>
      </c>
      <c r="L2" s="2" t="inlineStr">
        <is>
          <t>国盛证券（经腾讯新闻转载）</t>
        </is>
      </c>
      <c r="M2" s="2" t="inlineStr">
        <is>
          <t>Company Intelligence</t>
        </is>
      </c>
      <c r="N2" s="2" t="inlineStr">
        <is>
          <t>supply_chain</t>
        </is>
      </c>
      <c r="O2" s="2" t="inlineStr">
        <is>
          <t>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3">
      <c r="A3" s="2" t="inlineStr">
        <is>
          <t>Q001</t>
        </is>
      </c>
      <c r="B3" s="2" t="n">
        <v>2</v>
      </c>
      <c r="C3" s="2" t="inlineStr">
        <is>
          <t>CASE_004</t>
        </is>
      </c>
      <c r="D3" s="2" t="inlineStr">
        <is>
          <t>中际旭创：泰国工厂产能与国内基本齐平</t>
        </is>
      </c>
      <c r="E3" s="2" t="inlineStr">
        <is>
          <t>供应链布局</t>
        </is>
      </c>
      <c r="F3" s="2" t="inlineStr">
        <is>
          <t>B+</t>
        </is>
      </c>
      <c r="G3" s="2" t="n">
        <v>2</v>
      </c>
      <c r="H3" s="2" t="n">
        <v>1</v>
      </c>
      <c r="I3" s="3" t="n">
        <v>2</v>
      </c>
      <c r="J3" s="3" t="n">
        <v>1</v>
      </c>
      <c r="K3" s="2" t="inlineStr">
        <is>
          <t>中际旭创泰国工厂产能与国内齐平，直接案例</t>
        </is>
      </c>
      <c r="L3" s="2" t="inlineStr">
        <is>
          <t>国盛证券（经腾讯新闻转载）</t>
        </is>
      </c>
      <c r="M3" s="2" t="inlineStr">
        <is>
          <t>Company Intelligence</t>
        </is>
      </c>
      <c r="N3" s="2" t="inlineStr">
        <is>
          <t>supply_chain</t>
        </is>
      </c>
      <c r="O3" s="2" t="inlineStr">
        <is>
          <t>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4">
      <c r="A4" s="2" t="inlineStr">
        <is>
          <t>Q001</t>
        </is>
      </c>
      <c r="B4" s="2" t="n">
        <v>3</v>
      </c>
      <c r="C4" s="2" t="inlineStr">
        <is>
          <t>CASE_001</t>
        </is>
      </c>
      <c r="D4" s="2" t="inlineStr">
        <is>
          <t>Dawang Metals：客户订单转移印度后回流，企业放弃海外建厂</t>
        </is>
      </c>
      <c r="E4" s="2" t="inlineStr">
        <is>
          <t>供应链布局</t>
        </is>
      </c>
      <c r="F4" s="2" t="inlineStr">
        <is>
          <t>B+</t>
        </is>
      </c>
      <c r="G4" s="2" t="n">
        <v>1</v>
      </c>
      <c r="H4" s="2" t="n">
        <v>1</v>
      </c>
      <c r="I4" s="3" t="n">
        <v>1</v>
      </c>
      <c r="J4" s="3" t="n">
        <v>1</v>
      </c>
      <c r="K4" s="2" t="inlineStr">
        <is>
          <t>Dawang Metals 为订单转印度后回流案例，可作建厂节奏反向参照，但非泰国布局</t>
        </is>
      </c>
      <c r="L4" s="2" t="inlineStr">
        <is>
          <t>路透社（Reuters）</t>
        </is>
      </c>
      <c r="M4" s="2" t="inlineStr">
        <is>
          <t>Company Intelligence</t>
        </is>
      </c>
      <c r="N4" s="2" t="inlineStr">
        <is>
          <t>supply_chain</t>
        </is>
      </c>
      <c r="O4" s="2" t="inlineStr">
        <is>
          <t>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
      <c r="A5" s="2" t="inlineStr">
        <is>
          <t>Q001</t>
        </is>
      </c>
      <c r="B5" s="2" t="n">
        <v>4</v>
      </c>
      <c r="C5" s="2" t="inlineStr">
        <is>
          <t>CASE_006</t>
        </is>
      </c>
      <c r="D5" s="2" t="inlineStr">
        <is>
          <t>天孚通信：泰国一期投产、二期2025年投入使用</t>
        </is>
      </c>
      <c r="E5" s="2" t="inlineStr">
        <is>
          <t>供应链布局</t>
        </is>
      </c>
      <c r="F5" s="2" t="inlineStr">
        <is>
          <t>B+</t>
        </is>
      </c>
      <c r="G5" s="2" t="n">
        <v>2</v>
      </c>
      <c r="H5" s="2" t="n">
        <v>1</v>
      </c>
      <c r="I5" s="3" t="n">
        <v>2</v>
      </c>
      <c r="J5" s="3" t="n">
        <v>1</v>
      </c>
      <c r="K5" s="2" t="inlineStr">
        <is>
          <t>天孚通信泰国一期投产、二期2025启用，直接案例</t>
        </is>
      </c>
      <c r="L5" s="2" t="inlineStr">
        <is>
          <t>国盛证券（经腾讯新闻转载）</t>
        </is>
      </c>
      <c r="M5" s="2" t="inlineStr">
        <is>
          <t>Company Intelligence</t>
        </is>
      </c>
      <c r="N5" s="2" t="inlineStr">
        <is>
          <t>supply_chain</t>
        </is>
      </c>
      <c r="O5" s="2" t="inlineStr">
        <is>
          <t>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6">
      <c r="A6" s="2" t="inlineStr">
        <is>
          <t>Q001</t>
        </is>
      </c>
      <c r="B6" s="2" t="n">
        <v>5</v>
      </c>
      <c r="C6" s="2" t="inlineStr">
        <is>
          <t>CASE_008</t>
        </is>
      </c>
      <c r="D6" s="2" t="inlineStr">
        <is>
          <t>光模块厂商选择东南亚建厂以规避与欧美客户合作风险（中际旭创互动平台回复等）</t>
        </is>
      </c>
      <c r="E6" s="2" t="inlineStr">
        <is>
          <t>供应链布局</t>
        </is>
      </c>
      <c r="F6" s="2" t="inlineStr">
        <is>
          <t>B+</t>
        </is>
      </c>
      <c r="G6" s="2" t="n">
        <v>2</v>
      </c>
      <c r="H6" s="2" t="n">
        <v>1</v>
      </c>
      <c r="I6" s="3" t="n">
        <v>2</v>
      </c>
      <c r="J6" s="3" t="n">
        <v>1</v>
      </c>
      <c r="K6" s="2" t="inlineStr">
        <is>
          <t>光模块厂商东南亚建厂以规避欧美客户合作风险，直接说明泰国布局</t>
        </is>
      </c>
      <c r="L6" s="2" t="inlineStr">
        <is>
          <t>中国基金报</t>
        </is>
      </c>
      <c r="M6" s="2" t="inlineStr">
        <is>
          <t>Company Intelligence</t>
        </is>
      </c>
      <c r="N6" s="2" t="inlineStr">
        <is>
          <t>supply_chain</t>
        </is>
      </c>
      <c r="O6" s="2" t="inlineStr">
        <is>
          <t>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7">
      <c r="A7" s="2" t="inlineStr">
        <is>
          <t>Q002</t>
        </is>
      </c>
      <c r="B7" s="2" t="n">
        <v>1</v>
      </c>
      <c r="C7" s="2" t="inlineStr">
        <is>
          <t>CASE_007</t>
        </is>
      </c>
      <c r="D7" s="2" t="inlineStr">
        <is>
          <t>华工正源：马来西亚工厂，公开表述为规避地缘风险</t>
        </is>
      </c>
      <c r="E7" s="2" t="inlineStr">
        <is>
          <t>供应链布局</t>
        </is>
      </c>
      <c r="F7" s="2" t="inlineStr">
        <is>
          <t>B+</t>
        </is>
      </c>
      <c r="G7" s="2" t="n">
        <v>2</v>
      </c>
      <c r="H7" s="2" t="n">
        <v>1</v>
      </c>
      <c r="I7" s="3" t="n">
        <v>2</v>
      </c>
      <c r="J7" s="3" t="n">
        <v>1</v>
      </c>
      <c r="K7" s="2" t="inlineStr">
        <is>
          <t>华工正源马来西亚工厂，公开表述为规避地缘风险，直接案例</t>
        </is>
      </c>
      <c r="L7" s="2" t="inlineStr">
        <is>
          <t>C114通信网</t>
        </is>
      </c>
      <c r="M7" s="2" t="inlineStr">
        <is>
          <t>Company Intelligence</t>
        </is>
      </c>
      <c r="N7" s="2" t="inlineStr">
        <is>
          <t>supply_chain</t>
        </is>
      </c>
      <c r="O7" s="2" t="inlineStr">
        <is>
          <t>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8">
      <c r="A8" s="2" t="inlineStr">
        <is>
          <t>Q002</t>
        </is>
      </c>
      <c r="B8" s="2" t="n">
        <v>2</v>
      </c>
      <c r="C8" s="2" t="inlineStr">
        <is>
          <t>CASE_010</t>
        </is>
      </c>
      <c r="D8" s="2" t="inlineStr">
        <is>
          <t>白宫点名东南亚为非法转运高风险地区，并推出AI执法工具</t>
        </is>
      </c>
      <c r="E8" s="2" t="inlineStr">
        <is>
          <t>原产地与转运</t>
        </is>
      </c>
      <c r="F8" s="2" t="inlineStr">
        <is>
          <t>S</t>
        </is>
      </c>
      <c r="G8" s="2" t="n">
        <v>2</v>
      </c>
      <c r="H8" s="2" t="n">
        <v>2</v>
      </c>
      <c r="I8" s="3" t="n">
        <v>2</v>
      </c>
      <c r="J8" s="3" t="n">
        <v>2</v>
      </c>
      <c r="K8" s="2" t="inlineStr">
        <is>
          <t>白宫点名东南亚（含马来西亚）为转运高风险，美国官方判断</t>
        </is>
      </c>
      <c r="L8" s="2" t="inlineStr">
        <is>
          <t>美国白宫（经律所解读）</t>
        </is>
      </c>
      <c r="M8" s="2" t="inlineStr">
        <is>
          <t>Company Intelligence</t>
        </is>
      </c>
      <c r="N8" s="2" t="inlineStr">
        <is>
          <t>supply_chain</t>
        </is>
      </c>
      <c r="O8" s="2" t="inlineStr">
        <is>
          <t>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9">
      <c r="A9" s="2" t="inlineStr">
        <is>
          <t>Q002</t>
        </is>
      </c>
      <c r="B9" s="2" t="n">
        <v>3</v>
      </c>
      <c r="C9" s="2" t="inlineStr">
        <is>
          <t>CASE_002</t>
        </is>
      </c>
      <c r="D9" s="2" t="inlineStr">
        <is>
          <t>美国对东南亚四国光伏产品反规避认定：视为中国原产并适用对华双反</t>
        </is>
      </c>
      <c r="E9" s="2" t="inlineStr">
        <is>
          <t>反规避</t>
        </is>
      </c>
      <c r="F9" s="2" t="inlineStr">
        <is>
          <t>S</t>
        </is>
      </c>
      <c r="G9" s="2" t="n">
        <v>0</v>
      </c>
      <c r="H9" s="2" t="n">
        <v>2</v>
      </c>
      <c r="I9" s="3" t="n">
        <v>2</v>
      </c>
      <c r="J9" s="3" t="n">
        <v>2</v>
      </c>
      <c r="K9" s="2" t="inlineStr">
        <is>
          <t>美国商务部认定东南亚四国光伏视为中国原产，直接反映美方对马来西亚原产地的官方判断 ｜ 人工判定与Auto(0)不同，请复核</t>
        </is>
      </c>
      <c r="L9" s="2" t="inlineStr">
        <is>
          <t>美国商务部（经律所解读）</t>
        </is>
      </c>
      <c r="M9" s="2" t="inlineStr">
        <is>
          <t>Company Intelligence</t>
        </is>
      </c>
      <c r="N9" s="2" t="inlineStr">
        <is>
          <t>supply_chain</t>
        </is>
      </c>
      <c r="O9" s="2" t="inlineStr">
        <is>
          <t>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0">
      <c r="A10" s="2" t="inlineStr">
        <is>
          <t>Q002</t>
        </is>
      </c>
      <c r="B10" s="2" t="n">
        <v>4</v>
      </c>
      <c r="C10" s="2" t="inlineStr">
        <is>
          <t>CASE_003</t>
        </is>
      </c>
      <c r="D10" s="2" t="inlineStr">
        <is>
          <t>同一反规避调查中被认定“未规避”的企业（Hanwha、Jinko马来西亚、Boviet越南）</t>
        </is>
      </c>
      <c r="E10" s="2" t="inlineStr">
        <is>
          <t>反规避</t>
        </is>
      </c>
      <c r="F10" s="2" t="inlineStr">
        <is>
          <t>S</t>
        </is>
      </c>
      <c r="G10" s="2" t="n">
        <v>0</v>
      </c>
      <c r="H10" s="2" t="n">
        <v>2</v>
      </c>
      <c r="I10" s="3" t="n">
        <v>2</v>
      </c>
      <c r="J10" s="3" t="n">
        <v>2</v>
      </c>
      <c r="K10" s="2" t="inlineStr">
        <is>
          <t>美国商务部反规避认定（含马来西亚企业），直接反映美方对马来西亚原产地的官方判断 ｜ 人工判定与Auto(0)不同，请复核</t>
        </is>
      </c>
      <c r="L10" s="2" t="inlineStr">
        <is>
          <t>美国商务部（经律所解读）</t>
        </is>
      </c>
      <c r="M10" s="2" t="inlineStr">
        <is>
          <t>Company Intelligence</t>
        </is>
      </c>
      <c r="N10" s="2" t="inlineStr">
        <is>
          <t>supply_chain</t>
        </is>
      </c>
      <c r="O10" s="2" t="inlineStr">
        <is>
          <t>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
      <c r="A11" s="2" t="inlineStr">
        <is>
          <t>Q002</t>
        </is>
      </c>
      <c r="B11" s="2" t="n">
        <v>5</v>
      </c>
      <c r="C11" s="2" t="inlineStr">
        <is>
          <t>MOFCOM_004</t>
        </is>
      </c>
      <c r="D11" s="2" t="inlineStr">
        <is>
          <t>对外投资合作国别（地区）指南：马来西亚（2025年版）</t>
        </is>
      </c>
      <c r="E11" s="2" t="inlineStr">
        <is>
          <t>对外投资</t>
        </is>
      </c>
      <c r="F11" s="2" t="inlineStr">
        <is>
          <t>S</t>
        </is>
      </c>
      <c r="G11" s="2" t="n">
        <v>0</v>
      </c>
      <c r="H11" s="2" t="n">
        <v>2</v>
      </c>
      <c r="I11" s="3" t="n">
        <v>1</v>
      </c>
      <c r="J11" s="3" t="n">
        <v>2</v>
      </c>
      <c r="K11" s="2" t="inlineStr">
        <is>
          <t>马来西亚投资环境官方指南（含党派之争、并购安全审查、国有化风险），为「在马来西亚布局」的国别风险背景；但本题问的是中国企业布局案例与美国官方对转运的判断，指南两者都不提供 ｜ 人工判定与Auto(0)不同，请复核</t>
        </is>
      </c>
      <c r="L11" s="2" t="inlineStr">
        <is>
          <t>商务部对外投资和经济合作司、商务部国际贸易经济合作研究院、中国驻马来西亚大使馆经济商务处</t>
        </is>
      </c>
      <c r="M11" s="2" t="inlineStr">
        <is>
          <t>Company Intelligence</t>
        </is>
      </c>
      <c r="N11" s="2" t="inlineStr">
        <is>
          <t>supply_chain</t>
        </is>
      </c>
      <c r="O11" s="2" t="inlineStr">
        <is>
          <t>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8. 中资企业在马开展投资合作应注意的问题 8.1 主要风险 （1）政治风险 相较于东南亚许多国家政权变动频繁、社会动荡、民族宗教问题突出、受恐怖主义 威胁，马来西亚政治风险较低，但也存在潜在的政治风险，包括逐渐激烈的党派之争、 美国对马来西亚的影响等。马来西亚实行多党制，由几个政党联合组成政党联盟执政， 虽然马来西亚政局总体平稳发展，但近年来政治斗争不断加剧。执政党、反对党和公民 社会三方的良性互动是马来西亚局势稳定的关键。 （2）环境保护风险 马来西亚目前没有统一的环保法典，环保法律体系相对复杂，由众多法律、法规、 条例组成。在一项可能对环境造成影响</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CASE_002; CASE_003</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CASE_008</t>
        </is>
      </c>
      <c r="D13" s="2" t="inlineStr">
        <is>
          <t>光模块厂商选择东南亚建厂以规避与欧美客户合作风险（中际旭创互动平台回复等）</t>
        </is>
      </c>
      <c r="E13" s="2" t="inlineStr">
        <is>
          <t>供应链布局</t>
        </is>
      </c>
      <c r="F13" s="2" t="inlineStr">
        <is>
          <t>B+</t>
        </is>
      </c>
      <c r="G13" s="2" t="n">
        <v>1</v>
      </c>
      <c r="H13" s="2" t="n">
        <v>1</v>
      </c>
      <c r="I13" s="3" t="n">
        <v>1</v>
      </c>
      <c r="J13" s="3" t="n">
        <v>1</v>
      </c>
      <c r="K13" s="2" t="inlineStr">
        <is>
          <t>东南亚建厂规避风险案例，与「回流中国」方向相反，仅作同类布局参照</t>
        </is>
      </c>
      <c r="L13" s="2" t="inlineStr">
        <is>
          <t>中国基金报</t>
        </is>
      </c>
      <c r="M13" s="2" t="inlineStr">
        <is>
          <t>Company Intelligence</t>
        </is>
      </c>
      <c r="N13" s="2" t="inlineStr">
        <is>
          <t>supply_chain</t>
        </is>
      </c>
      <c r="O13" s="2" t="inlineStr">
        <is>
          <t>CASE_001; CASE_002; CASE_003</t>
        </is>
      </c>
      <c r="P13" s="2" t="inlineStr">
        <is>
          <t>我们想判断企业是否会因为关税规避型海外迁移效果不佳而回流中国。现有案例中有没有订单先转移海外、随后回流并放弃海外建厂的实例？</t>
        </is>
      </c>
      <c r="Q13"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14">
      <c r="A14" s="2" t="inlineStr">
        <is>
          <t>Q003</t>
        </is>
      </c>
      <c r="B14" s="2" t="n">
        <v>3</v>
      </c>
      <c r="C14" s="2" t="inlineStr">
        <is>
          <t>CASE_007</t>
        </is>
      </c>
      <c r="D14" s="2" t="inlineStr">
        <is>
          <t>华工正源：马来西亚工厂，公开表述为规避地缘风险</t>
        </is>
      </c>
      <c r="E14" s="2" t="inlineStr">
        <is>
          <t>供应链布局</t>
        </is>
      </c>
      <c r="F14" s="2" t="inlineStr">
        <is>
          <t>B+</t>
        </is>
      </c>
      <c r="G14" s="2" t="n">
        <v>1</v>
      </c>
      <c r="H14" s="2" t="n">
        <v>1</v>
      </c>
      <c r="I14" s="3" t="n">
        <v>1</v>
      </c>
      <c r="J14" s="3" t="n">
        <v>1</v>
      </c>
      <c r="K14" s="2" t="inlineStr">
        <is>
          <t>马来西亚工厂案例，与「回流中国」方向相反，仅作同类布局参照</t>
        </is>
      </c>
      <c r="L14" s="2" t="inlineStr">
        <is>
          <t>C114通信网</t>
        </is>
      </c>
      <c r="M14" s="2" t="inlineStr">
        <is>
          <t>Company Intelligence</t>
        </is>
      </c>
      <c r="N14" s="2" t="inlineStr">
        <is>
          <t>supply_chain</t>
        </is>
      </c>
      <c r="O14" s="2" t="inlineStr">
        <is>
          <t>CASE_001; CASE_002; CASE_003</t>
        </is>
      </c>
      <c r="P14" s="2" t="inlineStr">
        <is>
          <t>我们想判断企业是否会因为关税规避型海外迁移效果不佳而回流中国。现有案例中有没有订单先转移海外、随后回流并放弃海外建厂的实例？</t>
        </is>
      </c>
      <c r="Q14"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5">
      <c r="A15" s="2" t="inlineStr">
        <is>
          <t>Q003</t>
        </is>
      </c>
      <c r="B15" s="2" t="n">
        <v>4</v>
      </c>
      <c r="C15" s="2" t="inlineStr">
        <is>
          <t>CASE_004</t>
        </is>
      </c>
      <c r="D15" s="2" t="inlineStr">
        <is>
          <t>中际旭创：泰国工厂产能与国内基本齐平</t>
        </is>
      </c>
      <c r="E15" s="2" t="inlineStr">
        <is>
          <t>供应链布局</t>
        </is>
      </c>
      <c r="F15" s="2" t="inlineStr">
        <is>
          <t>B+</t>
        </is>
      </c>
      <c r="G15" s="2" t="n">
        <v>1</v>
      </c>
      <c r="H15" s="2" t="n">
        <v>1</v>
      </c>
      <c r="I15" s="3" t="n">
        <v>1</v>
      </c>
      <c r="J15" s="3" t="n">
        <v>1</v>
      </c>
      <c r="K15" s="2" t="inlineStr">
        <is>
          <t>泰国工厂案例，与「回流中国」方向相反，仅作同类布局参照</t>
        </is>
      </c>
      <c r="L15" s="2" t="inlineStr">
        <is>
          <t>国盛证券（经腾讯新闻转载）</t>
        </is>
      </c>
      <c r="M15" s="2" t="inlineStr">
        <is>
          <t>Company Intelligence</t>
        </is>
      </c>
      <c r="N15" s="2" t="inlineStr">
        <is>
          <t>supply_chain</t>
        </is>
      </c>
      <c r="O15" s="2" t="inlineStr">
        <is>
          <t>CASE_001; CASE_002; CASE_003</t>
        </is>
      </c>
      <c r="P15" s="2" t="inlineStr">
        <is>
          <t>我们想判断企业是否会因为关税规避型海外迁移效果不佳而回流中国。现有案例中有没有订单先转移海外、随后回流并放弃海外建厂的实例？</t>
        </is>
      </c>
      <c r="Q15"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6">
      <c r="A16" s="2" t="inlineStr">
        <is>
          <t>Q003</t>
        </is>
      </c>
      <c r="B16" s="2" t="n">
        <v>5</v>
      </c>
      <c r="C16" s="2" t="inlineStr">
        <is>
          <t>CASE_006</t>
        </is>
      </c>
      <c r="D16" s="2" t="inlineStr">
        <is>
          <t>天孚通信：泰国一期投产、二期2025年投入使用</t>
        </is>
      </c>
      <c r="E16" s="2" t="inlineStr">
        <is>
          <t>供应链布局</t>
        </is>
      </c>
      <c r="F16" s="2" t="inlineStr">
        <is>
          <t>B+</t>
        </is>
      </c>
      <c r="G16" s="2" t="n">
        <v>1</v>
      </c>
      <c r="H16" s="2" t="n">
        <v>1</v>
      </c>
      <c r="I16" s="3" t="n">
        <v>1</v>
      </c>
      <c r="J16" s="3" t="n">
        <v>1</v>
      </c>
      <c r="K16" s="2" t="inlineStr">
        <is>
          <t>泰国工厂案例，与「回流中国」方向相反，仅作同类布局参照</t>
        </is>
      </c>
      <c r="L16" s="2" t="inlineStr">
        <is>
          <t>国盛证券（经腾讯新闻转载）</t>
        </is>
      </c>
      <c r="M16" s="2" t="inlineStr">
        <is>
          <t>Company Intelligence</t>
        </is>
      </c>
      <c r="N16" s="2" t="inlineStr">
        <is>
          <t>supply_chain</t>
        </is>
      </c>
      <c r="O16" s="2" t="inlineStr">
        <is>
          <t>CASE_001; CASE_002; CASE_003</t>
        </is>
      </c>
      <c r="P16" s="2" t="inlineStr">
        <is>
          <t>我们想判断企业是否会因为关税规避型海外迁移效果不佳而回流中国。现有案例中有没有订单先转移海外、随后回流并放弃海外建厂的实例？</t>
        </is>
      </c>
      <c r="Q16"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7">
      <c r="A17" s="2" t="inlineStr">
        <is>
          <t>Q004</t>
        </is>
      </c>
      <c r="B17" s="2" t="n">
        <v>1</v>
      </c>
      <c r="C17" s="2" t="inlineStr">
        <is>
          <t>CASE_008</t>
        </is>
      </c>
      <c r="D17" s="2" t="inlineStr">
        <is>
          <t>光模块厂商选择东南亚建厂以规避与欧美客户合作风险（中际旭创互动平台回复等）</t>
        </is>
      </c>
      <c r="E17" s="2" t="inlineStr">
        <is>
          <t>供应链布局</t>
        </is>
      </c>
      <c r="F17" s="2" t="inlineStr">
        <is>
          <t>B+</t>
        </is>
      </c>
      <c r="G17" s="2" t="n">
        <v>2</v>
      </c>
      <c r="H17" s="2" t="n">
        <v>1</v>
      </c>
      <c r="I17" s="3" t="n">
        <v>2</v>
      </c>
      <c r="J17" s="3" t="n">
        <v>1</v>
      </c>
      <c r="K17" s="2" t="inlineStr">
        <is>
          <t>东南亚建厂以规避与欧美客户合作风险，布局与客户关系直接说明</t>
        </is>
      </c>
      <c r="L17" s="2" t="inlineStr">
        <is>
          <t>中国基金报</t>
        </is>
      </c>
      <c r="M17" s="2" t="inlineStr">
        <is>
          <t>Company Intelligence</t>
        </is>
      </c>
      <c r="N17" s="2" t="inlineStr">
        <is>
          <t>supply_chain</t>
        </is>
      </c>
      <c r="O17" s="2" t="inlineStr">
        <is>
          <t>CASE_004; CASE_005; CASE_006; CASE_007; CASE_008</t>
        </is>
      </c>
      <c r="P17" s="2" t="inlineStr">
        <is>
          <t>对于计划在东南亚扩产、服务欧美客户的制造企业，现有企业案例如何说明海外工厂布局与客户合作/地缘风险之间的关系？</t>
        </is>
      </c>
      <c r="Q17"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8">
      <c r="A18" s="2" t="inlineStr">
        <is>
          <t>Q004</t>
        </is>
      </c>
      <c r="B18" s="2" t="n">
        <v>2</v>
      </c>
      <c r="C18" s="2" t="inlineStr">
        <is>
          <t>CASE_007</t>
        </is>
      </c>
      <c r="D18" s="2" t="inlineStr">
        <is>
          <t>华工正源：马来西亚工厂，公开表述为规避地缘风险</t>
        </is>
      </c>
      <c r="E18" s="2" t="inlineStr">
        <is>
          <t>供应链布局</t>
        </is>
      </c>
      <c r="F18" s="2" t="inlineStr">
        <is>
          <t>B+</t>
        </is>
      </c>
      <c r="G18" s="2" t="n">
        <v>2</v>
      </c>
      <c r="H18" s="2" t="n">
        <v>1</v>
      </c>
      <c r="I18" s="3" t="n">
        <v>2</v>
      </c>
      <c r="J18" s="3" t="n">
        <v>1</v>
      </c>
      <c r="K18" s="2" t="inlineStr">
        <is>
          <t>马来西亚工厂公开表述为规避地缘风险，直接说明</t>
        </is>
      </c>
      <c r="L18" s="2" t="inlineStr">
        <is>
          <t>C114通信网</t>
        </is>
      </c>
      <c r="M18" s="2" t="inlineStr">
        <is>
          <t>Company Intelligence</t>
        </is>
      </c>
      <c r="N18" s="2" t="inlineStr">
        <is>
          <t>supply_chain</t>
        </is>
      </c>
      <c r="O18" s="2" t="inlineStr">
        <is>
          <t>CASE_004; CASE_005; CASE_006; CASE_007; CASE_008</t>
        </is>
      </c>
      <c r="P18" s="2" t="inlineStr">
        <is>
          <t>对于计划在东南亚扩产、服务欧美客户的制造企业，现有企业案例如何说明海外工厂布局与客户合作/地缘风险之间的关系？</t>
        </is>
      </c>
      <c r="Q18"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9">
      <c r="A19" s="2" t="inlineStr">
        <is>
          <t>Q004</t>
        </is>
      </c>
      <c r="B19" s="2" t="n">
        <v>3</v>
      </c>
      <c r="C19" s="2" t="inlineStr">
        <is>
          <t>CASE_004</t>
        </is>
      </c>
      <c r="D19" s="2" t="inlineStr">
        <is>
          <t>中际旭创：泰国工厂产能与国内基本齐平</t>
        </is>
      </c>
      <c r="E19" s="2" t="inlineStr">
        <is>
          <t>供应链布局</t>
        </is>
      </c>
      <c r="F19" s="2" t="inlineStr">
        <is>
          <t>B+</t>
        </is>
      </c>
      <c r="G19" s="2" t="n">
        <v>2</v>
      </c>
      <c r="H19" s="2" t="n">
        <v>1</v>
      </c>
      <c r="I19" s="3" t="n">
        <v>2</v>
      </c>
      <c r="J19" s="3" t="n">
        <v>1</v>
      </c>
      <c r="K19" s="2" t="inlineStr">
        <is>
          <t>泰国工厂产能与国内齐平，直接说明海外布局</t>
        </is>
      </c>
      <c r="L19" s="2" t="inlineStr">
        <is>
          <t>国盛证券（经腾讯新闻转载）</t>
        </is>
      </c>
      <c r="M19" s="2" t="inlineStr">
        <is>
          <t>Company Intelligence</t>
        </is>
      </c>
      <c r="N19" s="2" t="inlineStr">
        <is>
          <t>supply_chain</t>
        </is>
      </c>
      <c r="O19" s="2" t="inlineStr">
        <is>
          <t>CASE_004; CASE_005; CASE_006; CASE_007; CASE_008</t>
        </is>
      </c>
      <c r="P19" s="2" t="inlineStr">
        <is>
          <t>对于计划在东南亚扩产、服务欧美客户的制造企业，现有企业案例如何说明海外工厂布局与客户合作/地缘风险之间的关系？</t>
        </is>
      </c>
      <c r="Q19"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0">
      <c r="A20" s="2" t="inlineStr">
        <is>
          <t>Q004</t>
        </is>
      </c>
      <c r="B20" s="2" t="n">
        <v>4</v>
      </c>
      <c r="C20" s="2" t="inlineStr">
        <is>
          <t>CASE_005</t>
        </is>
      </c>
      <c r="D20" s="2" t="inlineStr">
        <is>
          <t>新易盛：2022年设立泰国基地，一二期已投产</t>
        </is>
      </c>
      <c r="E20" s="2" t="inlineStr">
        <is>
          <t>供应链布局</t>
        </is>
      </c>
      <c r="F20" s="2" t="inlineStr">
        <is>
          <t>B+</t>
        </is>
      </c>
      <c r="G20" s="2" t="n">
        <v>2</v>
      </c>
      <c r="H20" s="2" t="n">
        <v>1</v>
      </c>
      <c r="I20" s="3" t="n">
        <v>2</v>
      </c>
      <c r="J20" s="3" t="n">
        <v>1</v>
      </c>
      <c r="K20" s="2" t="inlineStr">
        <is>
          <t>泰国基地服务海外客户，直接说明布局与客户关系</t>
        </is>
      </c>
      <c r="L20" s="2" t="inlineStr">
        <is>
          <t>国盛证券（经腾讯新闻转载）</t>
        </is>
      </c>
      <c r="M20" s="2" t="inlineStr">
        <is>
          <t>Company Intelligence</t>
        </is>
      </c>
      <c r="N20" s="2" t="inlineStr">
        <is>
          <t>supply_chain</t>
        </is>
      </c>
      <c r="O20" s="2" t="inlineStr">
        <is>
          <t>CASE_004; CASE_005; CASE_006; CASE_007; CASE_008</t>
        </is>
      </c>
      <c r="P20" s="2" t="inlineStr">
        <is>
          <t>对于计划在东南亚扩产、服务欧美客户的制造企业，现有企业案例如何说明海外工厂布局与客户合作/地缘风险之间的关系？</t>
        </is>
      </c>
      <c r="Q20"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1">
      <c r="A21" s="2" t="inlineStr">
        <is>
          <t>Q004</t>
        </is>
      </c>
      <c r="B21" s="2" t="n">
        <v>5</v>
      </c>
      <c r="C21" s="2" t="inlineStr">
        <is>
          <t>CASE_006</t>
        </is>
      </c>
      <c r="D21" s="2" t="inlineStr">
        <is>
          <t>天孚通信：泰国一期投产、二期2025年投入使用</t>
        </is>
      </c>
      <c r="E21" s="2" t="inlineStr">
        <is>
          <t>供应链布局</t>
        </is>
      </c>
      <c r="F21" s="2" t="inlineStr">
        <is>
          <t>B+</t>
        </is>
      </c>
      <c r="G21" s="2" t="n">
        <v>2</v>
      </c>
      <c r="H21" s="2" t="n">
        <v>1</v>
      </c>
      <c r="I21" s="3" t="n">
        <v>2</v>
      </c>
      <c r="J21" s="3" t="n">
        <v>1</v>
      </c>
      <c r="K21" s="2" t="inlineStr">
        <is>
          <t>泰国一期投产、二期在建，直接说明海外布局</t>
        </is>
      </c>
      <c r="L21" s="2" t="inlineStr">
        <is>
          <t>国盛证券（经腾讯新闻转载）</t>
        </is>
      </c>
      <c r="M21" s="2" t="inlineStr">
        <is>
          <t>Company Intelligence</t>
        </is>
      </c>
      <c r="N21" s="2" t="inlineStr">
        <is>
          <t>supply_chain</t>
        </is>
      </c>
      <c r="O21" s="2" t="inlineStr">
        <is>
          <t>CASE_004; CASE_005; CASE_006; CASE_007; CASE_008</t>
        </is>
      </c>
      <c r="P21" s="2" t="inlineStr">
        <is>
          <t>对于计划在东南亚扩产、服务欧美客户的制造企业，现有企业案例如何说明海外工厂布局与客户合作/地缘风险之间的关系？</t>
        </is>
      </c>
      <c r="Q21"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DHS_001</t>
        </is>
      </c>
      <c r="D25" s="2" t="inlineStr">
        <is>
          <t>Notice Regarding the Uyghur Forced Labor Prevention Act Entity List（UFLPA 实体清单更新公告）</t>
        </is>
      </c>
      <c r="E25" s="2" t="inlineStr">
        <is>
          <t>劳工</t>
        </is>
      </c>
      <c r="F25" s="2" t="inlineStr">
        <is>
          <t>S</t>
        </is>
      </c>
      <c r="G25" s="2" t="n">
        <v>0</v>
      </c>
      <c r="H25" s="2" t="n">
        <v>2</v>
      </c>
      <c r="I25" s="3" t="n">
        <v>0</v>
      </c>
      <c r="J25" s="3" t="n">
        <v>2</v>
      </c>
      <c r="K25" s="2" t="inlineStr">
        <is>
          <t>UFLPA 强迫劳动实体清单，与反规避/原产地认定判例属不同域</t>
        </is>
      </c>
      <c r="L25" s="2" t="inlineStr">
        <is>
          <t>美国国土安全部（DHS，Federal Register）</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6">
      <c r="A26" s="2" t="inlineStr">
        <is>
          <t>Q005</t>
        </is>
      </c>
      <c r="B26" s="2" t="n">
        <v>5</v>
      </c>
      <c r="C26" s="2" t="inlineStr">
        <is>
          <t>CASE_001</t>
        </is>
      </c>
      <c r="D26" s="2" t="inlineStr">
        <is>
          <t>Dawang Metals：客户订单转移印度后回流，企业放弃海外建厂</t>
        </is>
      </c>
      <c r="E26" s="2" t="inlineStr">
        <is>
          <t>供应链布局</t>
        </is>
      </c>
      <c r="F26" s="2" t="inlineStr">
        <is>
          <t>B+</t>
        </is>
      </c>
      <c r="G26" s="2" t="n">
        <v>1</v>
      </c>
      <c r="H26" s="2" t="n">
        <v>1</v>
      </c>
      <c r="I26" s="3" t="n">
        <v>0</v>
      </c>
      <c r="J26" s="3" t="n">
        <v>1</v>
      </c>
      <c r="K26" s="2" t="inlineStr">
        <is>
          <t>印度订单回流案例，与规避/未规避认定无关 ｜ 人工判定与Auto(1)不同，请复核</t>
        </is>
      </c>
      <c r="L26" s="2" t="inlineStr">
        <is>
          <t>路透社（Reuters）</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27">
      <c r="A27" s="2" t="inlineStr">
        <is>
          <t>Q006</t>
        </is>
      </c>
      <c r="B27" s="2" t="n">
        <v>1</v>
      </c>
      <c r="C27" s="2" t="inlineStr">
        <is>
          <t>MOFCOM_002</t>
        </is>
      </c>
      <c r="D27" s="2" t="inlineStr">
        <is>
          <t>商务部公告2025年第72号（暂停实施2024年第46号公告第二款，涉及对美两用物项出口管制）</t>
        </is>
      </c>
      <c r="E27" s="2" t="inlineStr">
        <is>
          <t>出口管制</t>
        </is>
      </c>
      <c r="F27" s="2" t="inlineStr">
        <is>
          <t>S</t>
        </is>
      </c>
      <c r="G27" s="2" t="n">
        <v>2</v>
      </c>
      <c r="H27" s="2" t="n">
        <v>2</v>
      </c>
      <c r="I27" s="3" t="n">
        <v>2</v>
      </c>
      <c r="J27" s="3" t="n">
        <v>2</v>
      </c>
      <c r="K27" s="2" t="inlineStr">
        <is>
          <t>暂停措施涉及镓、锗、石墨，直接回答</t>
        </is>
      </c>
      <c r="L27" s="2" t="inlineStr">
        <is>
          <t>商务部</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28">
      <c r="A28" s="2" t="inlineStr">
        <is>
          <t>Q006</t>
        </is>
      </c>
      <c r="B28" s="2" t="n">
        <v>2</v>
      </c>
      <c r="C28" s="2" t="inlineStr">
        <is>
          <t>BIS_002</t>
        </is>
      </c>
      <c r="D28" s="2" t="inlineStr">
        <is>
          <t>One Year Suspension of Expansion of End-User Controls for Affiliates of Certain Listed Entities（关联企业规则暂停一年）</t>
        </is>
      </c>
      <c r="E28" s="2" t="inlineStr">
        <is>
          <t>出口管制</t>
        </is>
      </c>
      <c r="F28" s="2" t="inlineStr">
        <is>
          <t>S</t>
        </is>
      </c>
      <c r="G28" s="2" t="n">
        <v>2</v>
      </c>
      <c r="H28" s="2" t="n">
        <v>2</v>
      </c>
      <c r="I28" s="3" t="n">
        <v>2</v>
      </c>
      <c r="J28" s="3" t="n">
        <v>2</v>
      </c>
      <c r="K28" s="2" t="inlineStr">
        <is>
          <t>暂停令，直接回答暂停措施</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9">
      <c r="A29" s="2" t="inlineStr">
        <is>
          <t>Q006</t>
        </is>
      </c>
      <c r="B29" s="2" t="n">
        <v>3</v>
      </c>
      <c r="C29" s="2" t="inlineStr">
        <is>
          <t>BIS_001</t>
        </is>
      </c>
      <c r="D29" s="2" t="inlineStr">
        <is>
          <t>Expansion of End-User Controls to Cover Affiliates of Certain Listed Entities（关联企业规则 / 50%穿透规则，临时最终规则）</t>
        </is>
      </c>
      <c r="E29" s="2" t="inlineStr">
        <is>
          <t>出口管制</t>
        </is>
      </c>
      <c r="F29" s="2" t="inlineStr">
        <is>
          <t>S</t>
        </is>
      </c>
      <c r="G29" s="2" t="n">
        <v>2</v>
      </c>
      <c r="H29" s="2" t="n">
        <v>2</v>
      </c>
      <c r="I29" s="3" t="n">
        <v>2</v>
      </c>
      <c r="J29" s="3" t="n">
        <v>2</v>
      </c>
      <c r="K29" s="2" t="inlineStr">
        <is>
          <t>50%穿透规则原文，直接回答美方规则</t>
        </is>
      </c>
      <c r="L29" s="2" t="inlineStr">
        <is>
          <t>美国商务部工业与安全局（BIS）</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0">
      <c r="A30" s="2" t="inlineStr">
        <is>
          <t>Q006</t>
        </is>
      </c>
      <c r="B30" s="2" t="n">
        <v>4</v>
      </c>
      <c r="C30" s="2" t="inlineStr">
        <is>
          <t>CASE_009</t>
        </is>
      </c>
      <c r="D30" s="2" t="inlineStr">
        <is>
          <t>BIS 50%穿透规则：发布→暂停→2026-11-10恢复的完整时间线</t>
        </is>
      </c>
      <c r="E30" s="2" t="inlineStr">
        <is>
          <t>出口管制</t>
        </is>
      </c>
      <c r="F30" s="2" t="inlineStr">
        <is>
          <t>S</t>
        </is>
      </c>
      <c r="G30" s="2" t="n">
        <v>1</v>
      </c>
      <c r="H30" s="2" t="n">
        <v>2</v>
      </c>
      <c r="I30" s="3" t="n">
        <v>1</v>
      </c>
      <c r="J30" s="3" t="n">
        <v>2</v>
      </c>
      <c r="K30" s="2" t="inlineStr">
        <is>
          <t>BIS规则时间线合成案例，内容重复BIS_001/002</t>
        </is>
      </c>
      <c r="L30" s="2" t="inlineStr">
        <is>
          <t>美国商务部工业与安全局（BIS）</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1">
      <c r="A31" s="2" t="inlineStr">
        <is>
          <t>Q006</t>
        </is>
      </c>
      <c r="B31" s="2" t="n">
        <v>5</v>
      </c>
      <c r="C31" s="2" t="inlineStr">
        <is>
          <t>MOFCOM_001</t>
        </is>
      </c>
      <c r="D31" s="2" t="inlineStr">
        <is>
          <t>2026年度《两用物项和技术进出口许可证管理目录》</t>
        </is>
      </c>
      <c r="E31" s="2" t="inlineStr">
        <is>
          <t>出口管制</t>
        </is>
      </c>
      <c r="F31" s="2" t="inlineStr">
        <is>
          <t>S</t>
        </is>
      </c>
      <c r="G31" s="2" t="n">
        <v>2</v>
      </c>
      <c r="H31" s="2" t="n">
        <v>2</v>
      </c>
      <c r="I31" s="3" t="n">
        <v>2</v>
      </c>
      <c r="J31" s="3" t="n">
        <v>2</v>
      </c>
      <c r="K31" s="2" t="inlineStr">
        <is>
          <t>中国两用物项目录，直接回答核查范围</t>
        </is>
      </c>
      <c r="L31" s="2" t="inlineStr">
        <is>
          <t>商务部、海关总署</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BIS_001</t>
        </is>
      </c>
      <c r="D33" s="2" t="inlineStr">
        <is>
          <t>Expansion of End-User Controls to Cover Affiliates of Certain Listed Entities（关联企业规则 / 50%穿透规则，临时最终规则）</t>
        </is>
      </c>
      <c r="E33" s="2" t="inlineStr">
        <is>
          <t>出口管制</t>
        </is>
      </c>
      <c r="F33" s="2" t="inlineStr">
        <is>
          <t>S</t>
        </is>
      </c>
      <c r="G33" s="2" t="n">
        <v>2</v>
      </c>
      <c r="H33" s="2" t="n">
        <v>2</v>
      </c>
      <c r="I33" s="3" t="n">
        <v>2</v>
      </c>
      <c r="J33" s="3" t="n">
        <v>2</v>
      </c>
      <c r="K33" s="2" t="inlineStr">
        <is>
          <t>50%持股穿透规则原文</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4">
      <c r="A34" s="2" t="inlineStr">
        <is>
          <t>Q007</t>
        </is>
      </c>
      <c r="B34" s="2" t="n">
        <v>3</v>
      </c>
      <c r="C34" s="2" t="inlineStr">
        <is>
          <t>BIS_002</t>
        </is>
      </c>
      <c r="D34" s="2" t="inlineStr">
        <is>
          <t>One Year Suspension of Expansion of End-User Controls for Affiliates of Certain Listed Entities（关联企业规则暂停一年）</t>
        </is>
      </c>
      <c r="E34" s="2" t="inlineStr">
        <is>
          <t>出口管制</t>
        </is>
      </c>
      <c r="F34" s="2" t="inlineStr">
        <is>
          <t>S</t>
        </is>
      </c>
      <c r="G34" s="2" t="n">
        <v>2</v>
      </c>
      <c r="H34" s="2" t="n">
        <v>2</v>
      </c>
      <c r="I34" s="3" t="n">
        <v>2</v>
      </c>
      <c r="J34" s="3" t="n">
        <v>2</v>
      </c>
      <c r="K34" s="2" t="inlineStr">
        <is>
          <t>暂停期原文，直接回答时间判断</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DHS_001</t>
        </is>
      </c>
      <c r="D36" s="2" t="inlineStr">
        <is>
          <t>Notice Regarding the Uyghur Forced Labor Prevention Act Entity List（UFLPA 实体清单更新公告）</t>
        </is>
      </c>
      <c r="E36" s="2" t="inlineStr">
        <is>
          <t>劳工</t>
        </is>
      </c>
      <c r="F36" s="2" t="inlineStr">
        <is>
          <t>S</t>
        </is>
      </c>
      <c r="G36" s="2" t="n">
        <v>0</v>
      </c>
      <c r="H36" s="2" t="n">
        <v>2</v>
      </c>
      <c r="I36" s="3" t="n">
        <v>0</v>
      </c>
      <c r="J36" s="3" t="n">
        <v>2</v>
      </c>
      <c r="K36" s="2" t="inlineStr">
        <is>
          <t>UFLPA 清单不是 Entity List/MEU 穿透规则，与 50% 持股判断无关</t>
        </is>
      </c>
      <c r="L36" s="2" t="inlineStr">
        <is>
          <t>美国国土安全部（DHS，Federal Register）</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MOFCOM_002</t>
        </is>
      </c>
      <c r="D40" s="2" t="inlineStr">
        <is>
          <t>商务部公告2025年第72号（暂停实施2024年第46号公告第二款，涉及对美两用物项出口管制）</t>
        </is>
      </c>
      <c r="E40" s="2" t="inlineStr">
        <is>
          <t>出口管制</t>
        </is>
      </c>
      <c r="F40" s="2" t="inlineStr">
        <is>
          <t>S</t>
        </is>
      </c>
      <c r="G40" s="2" t="n">
        <v>1</v>
      </c>
      <c r="H40" s="2" t="n">
        <v>2</v>
      </c>
      <c r="I40" s="3" t="n">
        <v>1</v>
      </c>
      <c r="J40" s="3" t="n">
        <v>2</v>
      </c>
      <c r="K40" s="2" t="inlineStr">
        <is>
          <t>中国侧暂停措施，机制不同，仅辅助</t>
        </is>
      </c>
      <c r="L40" s="2" t="inlineStr">
        <is>
          <t>商务部</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41">
      <c r="A41" s="2" t="inlineStr">
        <is>
          <t>Q008</t>
        </is>
      </c>
      <c r="B41" s="2" t="n">
        <v>5</v>
      </c>
      <c r="C41" s="2" t="inlineStr">
        <is>
          <t>ITA_001</t>
        </is>
      </c>
      <c r="D41" s="2" t="inlineStr">
        <is>
          <t>Consolidated Screening List API（美国合并筛查清单）</t>
        </is>
      </c>
      <c r="E41" s="2" t="inlineStr">
        <is>
          <t>出口管制</t>
        </is>
      </c>
      <c r="F41" s="2" t="inlineStr">
        <is>
          <t>S</t>
        </is>
      </c>
      <c r="G41" s="2" t="n">
        <v>1</v>
      </c>
      <c r="H41" s="2" t="n">
        <v>2</v>
      </c>
      <c r="I41" s="3" t="n">
        <v>1</v>
      </c>
      <c r="J41" s="3" t="n">
        <v>2</v>
      </c>
      <c r="K41" s="2" t="inlineStr">
        <is>
          <t>筛查数据源，对窗口风险为辅助</t>
        </is>
      </c>
      <c r="L41" s="2" t="inlineStr">
        <is>
          <t>美国国际贸易管理局（ITA）</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42">
      <c r="A42" s="2" t="inlineStr">
        <is>
          <t>Q009</t>
        </is>
      </c>
      <c r="B42" s="2" t="n">
        <v>1</v>
      </c>
      <c r="C42" s="2" t="inlineStr">
        <is>
          <t>CASE_010</t>
        </is>
      </c>
      <c r="D42" s="2" t="inlineStr">
        <is>
          <t>白宫点名东南亚为非法转运高风险地区，并推出AI执法工具</t>
        </is>
      </c>
      <c r="E42" s="2" t="inlineStr">
        <is>
          <t>原产地与转运</t>
        </is>
      </c>
      <c r="F42" s="2" t="inlineStr">
        <is>
          <t>S</t>
        </is>
      </c>
      <c r="G42" s="2" t="n">
        <v>2</v>
      </c>
      <c r="H42" s="2" t="n">
        <v>2</v>
      </c>
      <c r="I42" s="3" t="n">
        <v>2</v>
      </c>
      <c r="J42" s="3" t="n">
        <v>2</v>
      </c>
      <c r="K42" s="2" t="inlineStr">
        <is>
          <t>点名越/泰/马为转运高风险，直接</t>
        </is>
      </c>
      <c r="L42" s="2" t="inlineStr">
        <is>
          <t>美国白宫（经律所解读）</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3">
      <c r="A43" s="2" t="inlineStr">
        <is>
          <t>Q009</t>
        </is>
      </c>
      <c r="B43" s="2" t="n">
        <v>2</v>
      </c>
      <c r="C43" s="2" t="inlineStr">
        <is>
          <t>WH_002</t>
        </is>
      </c>
      <c r="D43" s="2" t="inlineStr">
        <is>
          <t>The Great Transshipment Scam: Rise, Scope, and Costs（白宫非法转运报告）</t>
        </is>
      </c>
      <c r="E43" s="2" t="inlineStr">
        <is>
          <t>原产地与转运</t>
        </is>
      </c>
      <c r="F43" s="2" t="inlineStr">
        <is>
          <t>S</t>
        </is>
      </c>
      <c r="G43" s="2" t="n">
        <v>2</v>
      </c>
      <c r="H43" s="2" t="n">
        <v>2</v>
      </c>
      <c r="I43" s="3" t="n">
        <v>2</v>
      </c>
      <c r="J43" s="3" t="n">
        <v>2</v>
      </c>
      <c r="K43" s="2" t="inlineStr">
        <is>
          <t>白宫转运报告，政策方向直接证据</t>
        </is>
      </c>
      <c r="L43" s="2" t="inlineStr">
        <is>
          <t>美国白宫贸易与制造业政策办公室</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CSIS_001</t>
        </is>
      </c>
      <c r="D45" s="2" t="inlineStr">
        <is>
          <t>The Visibility Gap: How AI Can Stop Chinese Transshipment Under USMCA</t>
        </is>
      </c>
      <c r="E45" s="2" t="inlineStr">
        <is>
          <t>原产地与转运</t>
        </is>
      </c>
      <c r="F45" s="2" t="inlineStr">
        <is>
          <t>A</t>
        </is>
      </c>
      <c r="G45" s="2" t="n">
        <v>2</v>
      </c>
      <c r="H45" s="2" t="n">
        <v>2</v>
      </c>
      <c r="I45" s="3" t="n">
        <v>2</v>
      </c>
      <c r="J45" s="3" t="n">
        <v>2</v>
      </c>
      <c r="K45" s="2" t="inlineStr">
        <is>
          <t>AI识别转运的可见性缺口分析，直接</t>
        </is>
      </c>
      <c r="L45" s="2" t="inlineStr">
        <is>
          <t>战略与国际研究中心（CSIS）</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46">
      <c r="A46" s="2" t="inlineStr">
        <is>
          <t>Q009</t>
        </is>
      </c>
      <c r="B46" s="2" t="n">
        <v>5</v>
      </c>
      <c r="C46" s="2" t="inlineStr">
        <is>
          <t>CASE_002</t>
        </is>
      </c>
      <c r="D46" s="2" t="inlineStr">
        <is>
          <t>美国对东南亚四国光伏产品反规避认定：视为中国原产并适用对华双反</t>
        </is>
      </c>
      <c r="E46" s="2" t="inlineStr">
        <is>
          <t>反规避</t>
        </is>
      </c>
      <c r="F46" s="2" t="inlineStr">
        <is>
          <t>S</t>
        </is>
      </c>
      <c r="G46" s="2" t="n">
        <v>1</v>
      </c>
      <c r="H46" s="2" t="n">
        <v>2</v>
      </c>
      <c r="I46" s="3" t="n">
        <v>1</v>
      </c>
      <c r="J46" s="3" t="n">
        <v>2</v>
      </c>
      <c r="K46" s="2" t="inlineStr">
        <is>
          <t>光伏反规避判例，同类原产地执法先例</t>
        </is>
      </c>
      <c r="L46" s="2" t="inlineStr">
        <is>
          <t>美国商务部（经律所解读）</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CASE_010</t>
        </is>
      </c>
      <c r="D48" s="2" t="inlineStr">
        <is>
          <t>白宫点名东南亚为非法转运高风险地区，并推出AI执法工具</t>
        </is>
      </c>
      <c r="E48" s="2" t="inlineStr">
        <is>
          <t>原产地与转运</t>
        </is>
      </c>
      <c r="F48" s="2" t="inlineStr">
        <is>
          <t>S</t>
        </is>
      </c>
      <c r="G48" s="2" t="n">
        <v>2</v>
      </c>
      <c r="H48" s="2" t="n">
        <v>2</v>
      </c>
      <c r="I48" s="3" t="n">
        <v>2</v>
      </c>
      <c r="J48" s="3" t="n">
        <v>2</v>
      </c>
      <c r="K48" s="2" t="inlineStr">
        <is>
          <t>官方执法立场，说明原产地改判风险</t>
        </is>
      </c>
      <c r="L48" s="2" t="inlineStr">
        <is>
          <t>美国白宫（经律所解读）</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49">
      <c r="A49" s="2" t="inlineStr">
        <is>
          <t>Q010</t>
        </is>
      </c>
      <c r="B49" s="2" t="n">
        <v>3</v>
      </c>
      <c r="C49" s="2" t="inlineStr">
        <is>
          <t>DHS_001</t>
        </is>
      </c>
      <c r="D49" s="2" t="inlineStr">
        <is>
          <t>Notice Regarding the Uyghur Forced Labor Prevention Act Entity List（UFLPA 实体清单更新公告）</t>
        </is>
      </c>
      <c r="E49" s="2" t="inlineStr">
        <is>
          <t>劳工</t>
        </is>
      </c>
      <c r="F49" s="2" t="inlineStr">
        <is>
          <t>S</t>
        </is>
      </c>
      <c r="G49" s="2" t="n">
        <v>0</v>
      </c>
      <c r="H49" s="2" t="n">
        <v>2</v>
      </c>
      <c r="I49" s="3" t="n">
        <v>0</v>
      </c>
      <c r="J49" s="3" t="n">
        <v>2</v>
      </c>
      <c r="K49" s="2" t="inlineStr">
        <is>
          <t>强迫劳动清单与‘东南亚加工能否改变原产地’无关</t>
        </is>
      </c>
      <c r="L49" s="2" t="inlineStr">
        <is>
          <t>美国国土安全部（DHS，Federal Register）</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50">
      <c r="A50" s="2" t="inlineStr">
        <is>
          <t>Q010</t>
        </is>
      </c>
      <c r="B50" s="2" t="n">
        <v>4</v>
      </c>
      <c r="C50" s="2" t="inlineStr">
        <is>
          <t>WH_001</t>
        </is>
      </c>
      <c r="D50" s="2" t="inlineStr">
        <is>
          <t>Executive Order 14411: Strengthening Customs Enforcement（加强海关执法行政令）</t>
        </is>
      </c>
      <c r="E50" s="2" t="inlineStr">
        <is>
          <t>原产地与转运</t>
        </is>
      </c>
      <c r="F50" s="2" t="inlineStr">
        <is>
          <t>S</t>
        </is>
      </c>
      <c r="G50" s="2" t="n">
        <v>1</v>
      </c>
      <c r="H50" s="2" t="n">
        <v>2</v>
      </c>
      <c r="I50" s="3" t="n">
        <v>2</v>
      </c>
      <c r="J50" s="3" t="n">
        <v>2</v>
      </c>
      <c r="K50" s="2" t="inlineStr">
        <is>
          <t>EO14411 加强海关执法，直接回答执法趋势 ｜ 人工判定与Auto(1)不同，请复核</t>
        </is>
      </c>
      <c r="L50" s="2" t="inlineStr">
        <is>
          <t>美国白宫</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51">
      <c r="A51" s="2" t="inlineStr">
        <is>
          <t>Q010</t>
        </is>
      </c>
      <c r="B51" s="2" t="n">
        <v>5</v>
      </c>
      <c r="C51" s="2" t="inlineStr">
        <is>
          <t>WH_002</t>
        </is>
      </c>
      <c r="D51" s="2" t="inlineStr">
        <is>
          <t>The Great Transshipment Scam: Rise, Scope, and Costs（白宫非法转运报告）</t>
        </is>
      </c>
      <c r="E51" s="2" t="inlineStr">
        <is>
          <t>原产地与转运</t>
        </is>
      </c>
      <c r="F51" s="2" t="inlineStr">
        <is>
          <t>S</t>
        </is>
      </c>
      <c r="G51" s="2" t="n">
        <v>2</v>
      </c>
      <c r="H51" s="2" t="n">
        <v>2</v>
      </c>
      <c r="I51" s="3" t="n">
        <v>2</v>
      </c>
      <c r="J51" s="3" t="n">
        <v>2</v>
      </c>
      <c r="K51" s="2" t="inlineStr">
        <is>
          <t>白宫非法转运报告，官方执法立场直接证据</t>
        </is>
      </c>
      <c r="L51" s="2" t="inlineStr">
        <is>
          <t>美国白宫贸易与制造业政策办公室</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52">
      <c r="A52" s="2" t="inlineStr">
        <is>
          <t>Q011</t>
        </is>
      </c>
      <c r="B52" s="2" t="n">
        <v>1</v>
      </c>
      <c r="C52" s="2" t="inlineStr">
        <is>
          <t>MOFCOM_005</t>
        </is>
      </c>
      <c r="D52" s="2" t="inlineStr">
        <is>
          <t>对外投资合作国别（地区）指南：印度（2025年版）</t>
        </is>
      </c>
      <c r="E52" s="2" t="inlineStr">
        <is>
          <t>对外投资</t>
        </is>
      </c>
      <c r="F52" s="2" t="inlineStr">
        <is>
          <t>S</t>
        </is>
      </c>
      <c r="G52" s="2" t="n">
        <v>1</v>
      </c>
      <c r="H52" s="2" t="n">
        <v>2</v>
      </c>
      <c r="I52" s="3" t="n">
        <v>1</v>
      </c>
      <c r="J52" s="3" t="n">
        <v>2</v>
      </c>
      <c r="K52" s="2" t="inlineStr">
        <is>
          <t>商务部《对外投资合作国别（地区）指南》属本题所问的「官方对外投资产品 + 东道国投资环境证据」，可直接支撑立项尽调；但本题 gold 指向中国对外投资制度（CNGOV_001）与国际组织证据（IMF/UNCTAD），国别指南为按国别补充，故记部分相关</t>
        </is>
      </c>
      <c r="L52" s="2" t="inlineStr">
        <is>
          <t>商务部对外投资和经济合作司、商务部国际贸易经济合作研究院、中国驻印度大使馆经济商务处</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商务部以习近平新时代中国特色社会主义思想为指导，深入学习贯彻党的二十大和 二十届历次全会精神，按照党的二十届四中全会决策部署，有效实施对外投资管理，健 全海外综合服务体系，促进贸易投资一体化，引导产业链供应链合理有序跨境布局。 坚 持统筹发展和安全，鼓励和支持有实力、信誉好、有国际竞争力的企业开展产供链国际 合作，持续提升跨国经营能力。 当前，世界百年未有之大变局加速演进，国际力量对比深刻调整，大国博弈更加复 杂激烈，单边主义、保护主义抬头，经济全球化遭遇逆流。 同时，以人工智能为代表的 新一代技术革命和产业变革深入发展，为国际经贸合作注入新动能、创造新</t>
        </is>
      </c>
    </row>
    <row r="53">
      <c r="A53" s="2" t="inlineStr">
        <is>
          <t>Q011</t>
        </is>
      </c>
      <c r="B53" s="2" t="n">
        <v>2</v>
      </c>
      <c r="C53" s="2" t="inlineStr">
        <is>
          <t>MOFCOM_003</t>
        </is>
      </c>
      <c r="D53" s="2" t="inlineStr">
        <is>
          <t>对外投资合作国别（地区）指南：越南（2025年版）</t>
        </is>
      </c>
      <c r="E53" s="2" t="inlineStr">
        <is>
          <t>对外投资</t>
        </is>
      </c>
      <c r="F53" s="2" t="inlineStr">
        <is>
          <t>S</t>
        </is>
      </c>
      <c r="G53" s="2" t="n">
        <v>1</v>
      </c>
      <c r="H53" s="2" t="n">
        <v>2</v>
      </c>
      <c r="I53" s="3" t="n">
        <v>1</v>
      </c>
      <c r="J53" s="3" t="n">
        <v>2</v>
      </c>
      <c r="K53" s="2" t="inlineStr">
        <is>
          <t>同上：越南国别指南，国别层次的投资环境/合规证据，非本题 gold 的中国制度与国际组织证据</t>
        </is>
      </c>
      <c r="L53" s="2" t="inlineStr">
        <is>
          <t>商务部对外投资和经济合作司、商务部国际贸易经济合作研究院、中国驻越南大使馆经济商务处</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商务部以习近平新时代中国特色社会主义思想为指导，深入学习贯彻党的二十大和二十届历次 全会精神，按照党的二十届四中全会决策部署，有效实施对外投资管理，健全海外综合服务体系， 促进贸易投资一体化，引导产业链供应链合理有序跨境布局。 坚持统筹发展和安全，鼓励和支持有 实力、信誉好、有国际竞争力的企业开展产供链国际合作，持续提升跨国经营能力。 当前，世界百年未有之大变局加速演进，国际力量对比深刻调整，大国博弈更加复杂激烈，单 边主义、保护主义抬头，经济全球化遭遇逆流。 同时，以人工智能为代表的新一代技术革命和产业 变革深入发展，为国际经贸合作注入新动能、创造新模</t>
        </is>
      </c>
    </row>
    <row r="54">
      <c r="A54" s="2" t="inlineStr">
        <is>
          <t>Q011</t>
        </is>
      </c>
      <c r="B54" s="2" t="n">
        <v>3</v>
      </c>
      <c r="C54" s="2" t="inlineStr">
        <is>
          <t>MOFCOM_006</t>
        </is>
      </c>
      <c r="D54" s="2" t="inlineStr">
        <is>
          <t>对外投资合作国别（地区）指南：泰国（2025年版）</t>
        </is>
      </c>
      <c r="E54" s="2" t="inlineStr">
        <is>
          <t>对外投资</t>
        </is>
      </c>
      <c r="F54" s="2" t="inlineStr">
        <is>
          <t>S</t>
        </is>
      </c>
      <c r="G54" s="2" t="n">
        <v>1</v>
      </c>
      <c r="H54" s="2" t="n">
        <v>2</v>
      </c>
      <c r="I54" s="3" t="n">
        <v>1</v>
      </c>
      <c r="J54" s="3" t="n">
        <v>2</v>
      </c>
      <c r="K54" s="2" t="inlineStr">
        <is>
          <t>同上：泰国国别指南，国别层次的投资环境/合规证据，非本题 gold 的中国制度与国际组织证据</t>
        </is>
      </c>
      <c r="L54" s="2" t="inlineStr">
        <is>
          <t>商务部对外投资和经济合作司、商务部国际贸易经济合作研究院、中国驻泰国大使馆经济商务处</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商务部以习近平新时代中国特色社会主义思想为指导，深入学习贯彻党的二十大和 二十届历次全会精神，按照党的二十届四中全会决策部署，有效实施对外投资管理，健 全海外综合服务体系，促进贸易投资一体化，引导产业链供应链合理有序跨境布局。 坚 持统筹发展和安全，鼓励和支持有实力、信誉好、有国际竞争力的企业开展产供链国际 合作，持续提升跨国经营能力。 当前，世界百年未有之大变局加速演进，国际力量对比深刻调整，大国博弈更加复 杂激烈，单边主义、保护主义抬头，经济全球化遭遇逆流。 同时，以人工智能为代表的 新一代技术革命和产业变革深入发展，为国际经贸合作注入新动能、创造新</t>
        </is>
      </c>
    </row>
    <row r="55">
      <c r="A55" s="2" t="inlineStr">
        <is>
          <t>Q011</t>
        </is>
      </c>
      <c r="B55" s="2" t="n">
        <v>4</v>
      </c>
      <c r="C55" s="2" t="inlineStr">
        <is>
          <t>CNGOV_001</t>
        </is>
      </c>
      <c r="D55" s="2" t="inlineStr">
        <is>
          <t>国务院关于对外投资的规定（国务院令第837号）</t>
        </is>
      </c>
      <c r="E55" s="2" t="inlineStr">
        <is>
          <t>对外投资</t>
        </is>
      </c>
      <c r="F55" s="2" t="inlineStr">
        <is>
          <t>S</t>
        </is>
      </c>
      <c r="G55" s="2" t="n">
        <v>2</v>
      </c>
      <c r="H55" s="2" t="n">
        <v>2</v>
      </c>
      <c r="I55" s="3" t="n">
        <v>2</v>
      </c>
      <c r="J55" s="3" t="n">
        <v>2</v>
      </c>
      <c r="K55" s="2" t="inlineStr">
        <is>
          <t>中国对外投资官方规则，直接</t>
        </is>
      </c>
      <c r="L55" s="2" t="inlineStr">
        <is>
          <t>中华人民共和国国务院</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6">
      <c r="A56" s="2" t="inlineStr">
        <is>
          <t>Q011</t>
        </is>
      </c>
      <c r="B56" s="2" t="n">
        <v>5</v>
      </c>
      <c r="C56" s="2" t="inlineStr">
        <is>
          <t>MOFCOM_004</t>
        </is>
      </c>
      <c r="D56" s="2" t="inlineStr">
        <is>
          <t>对外投资合作国别（地区）指南：马来西亚（2025年版）</t>
        </is>
      </c>
      <c r="E56" s="2" t="inlineStr">
        <is>
          <t>对外投资</t>
        </is>
      </c>
      <c r="F56" s="2" t="inlineStr">
        <is>
          <t>S</t>
        </is>
      </c>
      <c r="G56" s="2" t="n">
        <v>1</v>
      </c>
      <c r="H56" s="2" t="n">
        <v>2</v>
      </c>
      <c r="I56" s="3" t="n">
        <v>1</v>
      </c>
      <c r="J56" s="3" t="n">
        <v>2</v>
      </c>
      <c r="K56" s="2" t="inlineStr">
        <is>
          <t>同上：马来西亚国别指南，国别层次的投资环境/合规证据，非本题 gold 的中国制度与国际组织证据</t>
        </is>
      </c>
      <c r="L56" s="2" t="inlineStr">
        <is>
          <t>商务部对外投资和经济合作司、商务部国际贸易经济合作研究院、中国驻马来西亚大使馆经济商务处</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商务部以习近平新时代中国特色社会主义思想为指导，深入学习贯彻党的二十大和 二十届历次全会精神，按照党的二十届四中全会决策部署，有效实施对外投资管理，健 全海外综合服务体系，促进贸易投资一体化，引导产业链供应链合理有序跨境布局。 坚 持统筹发展和安全，鼓励和支持有实力、信誉好、有国际竞争力的企业开展产供链国际 合作，持续提升跨国经营能力。 当前，世界百年未有之大变局加速演进，国际力量对比深刻调整，大国博弈更加复 杂激烈，单边主义、保护主义抬头，经济全球化遭遇逆流。 同时，以人工智能为代表的 新一代技术革命和产业变革深入发展，为国际经贸合作注入新动能、创造新</t>
        </is>
      </c>
    </row>
    <row r="57">
      <c r="A57" s="2" t="inlineStr">
        <is>
          <t>Q012</t>
        </is>
      </c>
      <c r="B57" s="2" t="n">
        <v>1</v>
      </c>
      <c r="C57" s="2" t="inlineStr">
        <is>
          <t>WEF_001</t>
        </is>
      </c>
      <c r="D57" s="2" t="inlineStr">
        <is>
          <t>Global Risks Report 2026（全球风险报告2026，第21版）</t>
        </is>
      </c>
      <c r="E57" s="2" t="inlineStr">
        <is>
          <t>宏观风险</t>
        </is>
      </c>
      <c r="F57" s="2" t="inlineStr">
        <is>
          <t>A+</t>
        </is>
      </c>
      <c r="G57" s="2" t="n">
        <v>2</v>
      </c>
      <c r="H57" s="2" t="n">
        <v>2</v>
      </c>
      <c r="I57" s="3" t="n">
        <v>2</v>
      </c>
      <c r="J57" s="3" t="n">
        <v>2</v>
      </c>
      <c r="K57" s="2" t="inlineStr">
        <is>
          <t>地缘经济对抗列为首要风险，直接</t>
        </is>
      </c>
      <c r="L57" s="2" t="inlineStr">
        <is>
          <t>世界经济论坛（WEF）</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8">
      <c r="A58" s="2" t="inlineStr">
        <is>
          <t>Q012</t>
        </is>
      </c>
      <c r="B58" s="2" t="n">
        <v>2</v>
      </c>
      <c r="C58" s="2" t="inlineStr">
        <is>
          <t>WTO_002</t>
        </is>
      </c>
      <c r="D58" s="2" t="inlineStr">
        <is>
          <t>Trade Policy Review: Report by the Secretariat — India（WT/TPR/S/403）印度第七次贸易政策审议秘书处报告</t>
        </is>
      </c>
      <c r="E58" s="2" t="inlineStr">
        <is>
          <t>贸易流</t>
        </is>
      </c>
      <c r="F58" s="2" t="inlineStr">
        <is>
          <t>A+</t>
        </is>
      </c>
      <c r="G58" s="2" t="n">
        <v>0</v>
      </c>
      <c r="H58" s="2" t="n">
        <v>2</v>
      </c>
      <c r="I58" s="3" t="n">
        <v>1</v>
      </c>
      <c r="J58" s="3" t="n">
        <v>2</v>
      </c>
      <c r="K58" s="2" t="inlineStr">
        <is>
          <t>WTO 对印贸易政策审议属官方贸易政策环境证据，可用作碎片化的国别佐证，但非国际组织宏观/投资证据 ｜ 人工判定与Auto(0)不同，请复核</t>
        </is>
      </c>
      <c r="L58" s="2" t="inlineStr">
        <is>
          <t>世界贸易组织（WTO）</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59">
      <c r="A59" s="2" t="inlineStr">
        <is>
          <t>Q012</t>
        </is>
      </c>
      <c r="B59" s="2" t="n">
        <v>3</v>
      </c>
      <c r="C59" s="2" t="inlineStr">
        <is>
          <t>MOFCOM_003</t>
        </is>
      </c>
      <c r="D59" s="2" t="inlineStr">
        <is>
          <t>对外投资合作国别（地区）指南：越南（2025年版）</t>
        </is>
      </c>
      <c r="E59" s="2" t="inlineStr">
        <is>
          <t>对外投资</t>
        </is>
      </c>
      <c r="F59" s="2" t="inlineStr">
        <is>
          <t>S</t>
        </is>
      </c>
      <c r="G59" s="2" t="n">
        <v>1</v>
      </c>
      <c r="H59" s="2" t="n">
        <v>2</v>
      </c>
      <c r="I59" s="3" t="n">
        <v>1</v>
      </c>
      <c r="J59" s="3" t="n">
        <v>2</v>
      </c>
      <c r="K59" s="2" t="inlineStr">
        <is>
          <t>越南国别指南反映的是东道国政治与营商环境的「现状描述」，可作为投资环境支撑，但不构成国际组织对地缘经济碎片化的分析（本题 gold 为 IMF/MCK/UNCTAD/WEF）；人工判定与Auto(0)口径不同请复核——本题主题桶为 investment_policy，指南 topic=对外投资</t>
        </is>
      </c>
      <c r="L59" s="2" t="inlineStr">
        <is>
          <t>商务部对外投资和经济合作司、商务部国际贸易经济合作研究院、中国驻越南大使馆经济商务处</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4. 投资环境 4.1 投资吸引力 【主要优势】越南吸引外资的主要优势：一是政局稳定，经济发展较快。越南政 府执政能力较强，政策具有连续性，注重经济建设和改善民生；二是劳动力成本 相对 较低；三是地理位置优越，位于中南半岛东部，海岸线长达 3260公里，港口众多，运 输便利。北部与中国接壤，凭借地理优势与中国保持产业链和供应链深度融合；四是 政策法规相对宽松，为外国投资者提供较全面的法律保障和较大力度的优惠政策；五 是对外开放程度较高，已签署17项自贸协定，另有2项自贸协定谈判正在推进中，投资 者可利用RCEP、中国—东盟自贸区等平台开拓更广阔的国际市场</t>
        </is>
      </c>
    </row>
    <row r="60">
      <c r="A60" s="2" t="inlineStr">
        <is>
          <t>Q012</t>
        </is>
      </c>
      <c r="B60" s="2" t="n">
        <v>4</v>
      </c>
      <c r="C60" s="2" t="inlineStr">
        <is>
          <t>UNCTAD_001</t>
        </is>
      </c>
      <c r="D60" s="2" t="inlineStr">
        <is>
          <t>World Investment Report 2026: International Investment in a Turbulent Era</t>
        </is>
      </c>
      <c r="E60" s="2" t="inlineStr">
        <is>
          <t>对外投资</t>
        </is>
      </c>
      <c r="F60" s="2" t="inlineStr">
        <is>
          <t>A+</t>
        </is>
      </c>
      <c r="G60" s="2" t="n">
        <v>2</v>
      </c>
      <c r="H60" s="2" t="n">
        <v>2</v>
      </c>
      <c r="I60" s="3" t="n">
        <v>2</v>
      </c>
      <c r="J60" s="3" t="n">
        <v>2</v>
      </c>
      <c r="K60" s="2" t="inlineStr">
        <is>
          <t>动荡期FDI趋势，直接</t>
        </is>
      </c>
      <c r="L60" s="2" t="inlineStr">
        <is>
          <t>联合国贸易和发展会议（UNCTAD）</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61">
      <c r="A61" s="2" t="inlineStr">
        <is>
          <t>Q012</t>
        </is>
      </c>
      <c r="B61" s="2" t="n">
        <v>5</v>
      </c>
      <c r="C61" s="2" t="inlineStr">
        <is>
          <t>MOFCOM_006</t>
        </is>
      </c>
      <c r="D61" s="2" t="inlineStr">
        <is>
          <t>对外投资合作国别（地区）指南：泰国（2025年版）</t>
        </is>
      </c>
      <c r="E61" s="2" t="inlineStr">
        <is>
          <t>对外投资</t>
        </is>
      </c>
      <c r="F61" s="2" t="inlineStr">
        <is>
          <t>S</t>
        </is>
      </c>
      <c r="G61" s="2" t="n">
        <v>1</v>
      </c>
      <c r="H61" s="2" t="n">
        <v>2</v>
      </c>
      <c r="I61" s="3" t="n">
        <v>1</v>
      </c>
      <c r="J61" s="3" t="n">
        <v>2</v>
      </c>
      <c r="K61" s="2" t="inlineStr">
        <is>
          <t>泰国国别指南，同上：国别投资环境支撑，非国际组织层面的碎片化证据</t>
        </is>
      </c>
      <c r="L61" s="2" t="inlineStr">
        <is>
          <t>商务部对外投资和经济合作司、商务部国际贸易经济合作研究院、中国驻泰国大使馆经济商务处</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泰国（2025 年版） 寄语 泰国位于东盟中心位置，区位优势明显，社会总体较为稳定，政策透明度和贸易自 由化程度较高， 法律法规较为健全， 营商环境开放包容，2024年泰国国内生产总值为5263 亿美元，是东盟第三大经济体。 泰国商品在东盟国家享受零关税待遇，对周边国家具有 较强辐射能力。 泰国投资促进政策以“泰国4. 0”战略为核心，重点支持发展新型汽车、智能电子、 农业与生物科技、食品加工、高端旅游和康养、自动化、航空与物流、综合医疗、生物 燃料和化学工业、数字经济、国防工业、人力教育等12大目标产业。 近年来，为增强产 供链韧性、 应对国际贸易挑战</t>
        </is>
      </c>
    </row>
    <row r="62">
      <c r="A62" s="2" t="inlineStr">
        <is>
          <t>Q013</t>
        </is>
      </c>
      <c r="B62" s="2" t="n">
        <v>1</v>
      </c>
      <c r="C62" s="2" t="inlineStr">
        <is>
          <t>IMF_001</t>
        </is>
      </c>
      <c r="D62" s="2" t="inlineStr">
        <is>
          <t>World Economic Outlook, April 2023, Chapter 4: Geoeconomic Fragmentation and Foreign Direct Investment</t>
        </is>
      </c>
      <c r="E62" s="2" t="inlineStr">
        <is>
          <t>对外投资</t>
        </is>
      </c>
      <c r="F62" s="2" t="inlineStr">
        <is>
          <t>A+</t>
        </is>
      </c>
      <c r="G62" s="2" t="n">
        <v>2</v>
      </c>
      <c r="H62" s="2" t="n">
        <v>2</v>
      </c>
      <c r="I62" s="3" t="n">
        <v>2</v>
      </c>
      <c r="J62" s="3" t="n">
        <v>2</v>
      </c>
      <c r="K62" s="2" t="inlineStr">
        <is>
          <t>FDI与地缘经济碎片化框架，直接</t>
        </is>
      </c>
      <c r="L62" s="2" t="inlineStr">
        <is>
          <t>国际货币基金组织（IMF）</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3">
      <c r="A63" s="2" t="inlineStr">
        <is>
          <t>Q013</t>
        </is>
      </c>
      <c r="B63" s="2" t="n">
        <v>2</v>
      </c>
      <c r="C63" s="2" t="inlineStr">
        <is>
          <t>UNCTAD_001</t>
        </is>
      </c>
      <c r="D63" s="2" t="inlineStr">
        <is>
          <t>World Investment Report 2026: International Investment in a Turbulent Era</t>
        </is>
      </c>
      <c r="E63" s="2" t="inlineStr">
        <is>
          <t>对外投资</t>
        </is>
      </c>
      <c r="F63" s="2" t="inlineStr">
        <is>
          <t>A+</t>
        </is>
      </c>
      <c r="G63" s="2" t="n">
        <v>2</v>
      </c>
      <c r="H63" s="2" t="n">
        <v>2</v>
      </c>
      <c r="I63" s="3" t="n">
        <v>2</v>
      </c>
      <c r="J63" s="3" t="n">
        <v>2</v>
      </c>
      <c r="K63" s="2" t="inlineStr">
        <is>
          <t>全球投资与地缘经济趋势，直接</t>
        </is>
      </c>
      <c r="L63" s="2" t="inlineStr">
        <is>
          <t>联合国贸易和发展会议（UNCTAD）</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4">
      <c r="A64" s="2" t="inlineStr">
        <is>
          <t>Q013</t>
        </is>
      </c>
      <c r="B64" s="2" t="n">
        <v>3</v>
      </c>
      <c r="C64" s="2" t="inlineStr">
        <is>
          <t>WTO_001</t>
        </is>
      </c>
      <c r="D64" s="2" t="inlineStr">
        <is>
          <t>Global Trade Outlook and Statistics（2026年3月版）</t>
        </is>
      </c>
      <c r="E64" s="2" t="inlineStr">
        <is>
          <t>贸易流</t>
        </is>
      </c>
      <c r="F64" s="2" t="inlineStr">
        <is>
          <t>A+</t>
        </is>
      </c>
      <c r="G64" s="2" t="n">
        <v>2</v>
      </c>
      <c r="H64" s="2" t="n">
        <v>2</v>
      </c>
      <c r="I64" s="3" t="n">
        <v>2</v>
      </c>
      <c r="J64" s="3" t="n">
        <v>2</v>
      </c>
      <c r="K64" s="2" t="inlineStr">
        <is>
          <t>货物贸易增速放缓，直接</t>
        </is>
      </c>
      <c r="L64" s="2" t="inlineStr">
        <is>
          <t>世界贸易组织（WTO）</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5">
      <c r="A65" s="2" t="inlineStr">
        <is>
          <t>Q013</t>
        </is>
      </c>
      <c r="B65" s="2" t="n">
        <v>4</v>
      </c>
      <c r="C65" s="2" t="inlineStr">
        <is>
          <t>MCK_001</t>
        </is>
      </c>
      <c r="D65" s="2" t="inlineStr">
        <is>
          <t>The art, science, and technology of geopolitical scenario planning</t>
        </is>
      </c>
      <c r="E65" s="2" t="inlineStr">
        <is>
          <t>宏观风险</t>
        </is>
      </c>
      <c r="F65" s="2" t="inlineStr">
        <is>
          <t>A</t>
        </is>
      </c>
      <c r="G65" s="2" t="n">
        <v>2</v>
      </c>
      <c r="H65" s="2" t="n">
        <v>2</v>
      </c>
      <c r="I65" s="3" t="n">
        <v>2</v>
      </c>
      <c r="J65" s="3" t="n">
        <v>2</v>
      </c>
      <c r="K65" s="2" t="inlineStr">
        <is>
          <t>地缘政治情景规划方法，直接支撑海外布局不确定性分析</t>
        </is>
      </c>
      <c r="L65" s="2" t="inlineStr">
        <is>
          <t>麦肯锡（McKinsey）</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66">
      <c r="A66" s="2" t="inlineStr">
        <is>
          <t>Q013</t>
        </is>
      </c>
      <c r="B66" s="2" t="n">
        <v>5</v>
      </c>
      <c r="C66" s="2" t="inlineStr">
        <is>
          <t>WEF_001</t>
        </is>
      </c>
      <c r="D66" s="2" t="inlineStr">
        <is>
          <t>Global Risks Report 2026（全球风险报告2026，第21版）</t>
        </is>
      </c>
      <c r="E66" s="2" t="inlineStr">
        <is>
          <t>宏观风险</t>
        </is>
      </c>
      <c r="F66" s="2" t="inlineStr">
        <is>
          <t>A+</t>
        </is>
      </c>
      <c r="G66" s="2" t="n">
        <v>2</v>
      </c>
      <c r="H66" s="2" t="n">
        <v>2</v>
      </c>
      <c r="I66" s="3" t="n">
        <v>2</v>
      </c>
      <c r="J66" s="3" t="n">
        <v>2</v>
      </c>
      <c r="K66" s="2" t="inlineStr">
        <is>
          <t>全球风险报告将地缘经济对抗列为首要风险，直接支撑判断</t>
        </is>
      </c>
      <c r="L66" s="2" t="inlineStr">
        <is>
          <t>世界经济论坛（WEF）</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NIO_001</t>
        </is>
      </c>
      <c r="D71" s="2" t="inlineStr">
        <is>
          <t>NIO Inc. Form 20-F（fiscal year ended December 31, 2025）蔚来2025财年年报</t>
        </is>
      </c>
      <c r="E71" s="2" t="inlineStr">
        <is>
          <t>出口管制</t>
        </is>
      </c>
      <c r="F71" s="2" t="inlineStr">
        <is>
          <t>S</t>
        </is>
      </c>
      <c r="G71" s="2" t="n">
        <v>1</v>
      </c>
      <c r="H71" s="2" t="n">
        <v>2</v>
      </c>
      <c r="I71" s="3" t="n">
        <v>0</v>
      </c>
      <c r="J71" s="3" t="n">
        <v>2</v>
      </c>
      <c r="K71" s="2" t="inlineStr">
        <is>
          <t>企业年报披露，不是受限方筛查数据源，也不构成出口管制规则 ｜ 人工判定与Auto(1)不同，请复核</t>
        </is>
      </c>
      <c r="L71" s="2" t="inlineStr">
        <is>
          <t>蔚来（NIO Inc.，SEC EDGAR）</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NIO_001</t>
        </is>
      </c>
      <c r="D76" s="2" t="inlineStr">
        <is>
          <t>NIO Inc. Form 20-F（fiscal year ended December 31, 2025）蔚来2025财年年报</t>
        </is>
      </c>
      <c r="E76" s="2" t="inlineStr">
        <is>
          <t>出口管制</t>
        </is>
      </c>
      <c r="F76" s="2" t="inlineStr">
        <is>
          <t>S</t>
        </is>
      </c>
      <c r="G76" s="2" t="n">
        <v>1</v>
      </c>
      <c r="H76" s="2" t="n">
        <v>2</v>
      </c>
      <c r="I76" s="3" t="n">
        <v>0</v>
      </c>
      <c r="J76" s="3" t="n">
        <v>2</v>
      </c>
      <c r="K76" s="2" t="inlineStr">
        <is>
          <t>蔚来 20-F 既不是美国新规监测入口，也不是受限方筛查数据源；本题两类信息需求都不满足 ｜ 人工判定与Auto(1)不同，请复核</t>
        </is>
      </c>
      <c r="L76" s="2" t="inlineStr">
        <is>
          <t>蔚来（NIO Inc.，SEC EDGAR）</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78">
      <c r="A78" s="2" t="inlineStr">
        <is>
          <t>Q016</t>
        </is>
      </c>
      <c r="B78" s="2" t="n">
        <v>2</v>
      </c>
      <c r="C78" s="2" t="inlineStr">
        <is>
          <t>DHS_001</t>
        </is>
      </c>
      <c r="D78" s="2" t="inlineStr">
        <is>
          <t>Notice Regarding the Uyghur Forced Labor Prevention Act Entity List（UFLPA 实体清单更新公告）</t>
        </is>
      </c>
      <c r="E78" s="2" t="inlineStr">
        <is>
          <t>劳工</t>
        </is>
      </c>
      <c r="F78" s="2" t="inlineStr">
        <is>
          <t>S</t>
        </is>
      </c>
      <c r="G78" s="2" t="n">
        <v>0</v>
      </c>
      <c r="H78" s="2" t="n">
        <v>2</v>
      </c>
      <c r="I78" s="3" t="n">
        <v>0</v>
      </c>
      <c r="J78" s="3" t="n">
        <v>2</v>
      </c>
      <c r="K78" s="2" t="inlineStr">
        <is>
          <t>强迫劳动清单不能支持美国 EV/电池进口来源是否转移的判断</t>
        </is>
      </c>
      <c r="L78" s="2" t="inlineStr">
        <is>
          <t>美国国土安全部（DHS，Federal Register）</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79">
      <c r="A79" s="2" t="inlineStr">
        <is>
          <t>Q016</t>
        </is>
      </c>
      <c r="B79" s="2" t="n">
        <v>3</v>
      </c>
      <c r="C79" s="2" t="inlineStr">
        <is>
          <t>CASE_003</t>
        </is>
      </c>
      <c r="D79" s="2" t="inlineStr">
        <is>
          <t>同一反规避调查中被认定“未规避”的企业（Hanwha、Jinko马来西亚、Boviet越南）</t>
        </is>
      </c>
      <c r="E79" s="2" t="inlineStr">
        <is>
          <t>反规避</t>
        </is>
      </c>
      <c r="F79" s="2" t="inlineStr">
        <is>
          <t>S</t>
        </is>
      </c>
      <c r="G79" s="2" t="n">
        <v>0</v>
      </c>
      <c r="H79" s="2" t="n">
        <v>2</v>
      </c>
      <c r="I79" s="3" t="n">
        <v>1</v>
      </c>
      <c r="J79" s="3" t="n">
        <v>2</v>
      </c>
      <c r="K79" s="2" t="inlineStr">
        <is>
          <t>反规避「未规避」判例，涉及区域原产地认定，间接相关 ｜ 人工判定与Auto(0)不同，请复核</t>
        </is>
      </c>
      <c r="L79" s="2" t="inlineStr">
        <is>
          <t>美国商务部（经律所解读）</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80">
      <c r="A80" s="2" t="inlineStr">
        <is>
          <t>Q016</t>
        </is>
      </c>
      <c r="B80" s="2" t="n">
        <v>4</v>
      </c>
      <c r="C80" s="2" t="inlineStr">
        <is>
          <t>TRD_003</t>
        </is>
      </c>
      <c r="D80" s="2" t="inlineStr">
        <is>
          <t>中国对越南、泰国、马来西亚出口 HS 8541/8542（中间品），2018–2025年度</t>
        </is>
      </c>
      <c r="E80" s="2" t="inlineStr">
        <is>
          <t>贸易流</t>
        </is>
      </c>
      <c r="F80" s="2" t="inlineStr">
        <is>
          <t>A+</t>
        </is>
      </c>
      <c r="G80" s="2" t="n">
        <v>2</v>
      </c>
      <c r="H80" s="2" t="n">
        <v>2</v>
      </c>
      <c r="I80" s="3" t="n">
        <v>2</v>
      </c>
      <c r="J80" s="3" t="n">
        <v>2</v>
      </c>
      <c r="K80" s="2" t="inlineStr">
        <is>
          <t>中国对越/泰/马中间品出口，直接</t>
        </is>
      </c>
      <c r="L80" s="2" t="inlineStr">
        <is>
          <t>联合国商品贸易统计数据库（UN Comtrade）</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1">
      <c r="A81" s="2" t="inlineStr">
        <is>
          <t>Q016</t>
        </is>
      </c>
      <c r="B81" s="2" t="n">
        <v>5</v>
      </c>
      <c r="C81" s="2" t="inlineStr">
        <is>
          <t>WH_002</t>
        </is>
      </c>
      <c r="D81" s="2" t="inlineStr">
        <is>
          <t>The Great Transshipment Scam: Rise, Scope, and Costs（白宫非法转运报告）</t>
        </is>
      </c>
      <c r="E81" s="2" t="inlineStr">
        <is>
          <t>原产地与转运</t>
        </is>
      </c>
      <c r="F81" s="2" t="inlineStr">
        <is>
          <t>S</t>
        </is>
      </c>
      <c r="G81" s="2" t="n">
        <v>1</v>
      </c>
      <c r="H81" s="2" t="n">
        <v>2</v>
      </c>
      <c r="I81" s="3" t="n">
        <v>2</v>
      </c>
      <c r="J81" s="3" t="n">
        <v>2</v>
      </c>
      <c r="K81" s="2" t="inlineStr">
        <is>
          <t>白宫非法转运报告，供应链迁移相关政策证据直接来源 ｜ 人工判定与Auto(1)不同，请复核</t>
        </is>
      </c>
      <c r="L81" s="2" t="inlineStr">
        <is>
          <t>美国白宫贸易与制造业政策办公室</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WH_002</t>
        </is>
      </c>
      <c r="D84" s="2" t="inlineStr">
        <is>
          <t>The Great Transshipment Scam: Rise, Scope, and Costs（白宫非法转运报告）</t>
        </is>
      </c>
      <c r="E84" s="2" t="inlineStr">
        <is>
          <t>原产地与转运</t>
        </is>
      </c>
      <c r="F84" s="2" t="inlineStr">
        <is>
          <t>S</t>
        </is>
      </c>
      <c r="G84" s="2" t="n">
        <v>2</v>
      </c>
      <c r="H84" s="2" t="n">
        <v>2</v>
      </c>
      <c r="I84" s="3" t="n">
        <v>2</v>
      </c>
      <c r="J84" s="3" t="n">
        <v>2</v>
      </c>
      <c r="K84" s="2" t="inlineStr">
        <is>
          <t>非法转运报告，原产地风险直接</t>
        </is>
      </c>
      <c r="L84" s="2" t="inlineStr">
        <is>
          <t>美国白宫贸易与制造业政策办公室</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5">
      <c r="A85" s="2" t="inlineStr">
        <is>
          <t>Q017</t>
        </is>
      </c>
      <c r="B85" s="2" t="n">
        <v>4</v>
      </c>
      <c r="C85" s="2" t="inlineStr">
        <is>
          <t>CSIS_001</t>
        </is>
      </c>
      <c r="D85" s="2" t="inlineStr">
        <is>
          <t>The Visibility Gap: How AI Can Stop Chinese Transshipment Under USMCA</t>
        </is>
      </c>
      <c r="E85" s="2" t="inlineStr">
        <is>
          <t>原产地与转运</t>
        </is>
      </c>
      <c r="F85" s="2" t="inlineStr">
        <is>
          <t>A</t>
        </is>
      </c>
      <c r="G85" s="2" t="n">
        <v>2</v>
      </c>
      <c r="H85" s="2" t="n">
        <v>2</v>
      </c>
      <c r="I85" s="3" t="n">
        <v>2</v>
      </c>
      <c r="J85" s="3" t="n">
        <v>2</v>
      </c>
      <c r="K85" s="2" t="inlineStr">
        <is>
          <t>转运可见性分析，直接支持原产地风险判断</t>
        </is>
      </c>
      <c r="L85" s="2" t="inlineStr">
        <is>
          <t>战略与国际研究中心（CSIS）</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86">
      <c r="A86" s="2" t="inlineStr">
        <is>
          <t>Q017</t>
        </is>
      </c>
      <c r="B86" s="2" t="n">
        <v>5</v>
      </c>
      <c r="C86" s="2" t="inlineStr">
        <is>
          <t>WTO_001</t>
        </is>
      </c>
      <c r="D86" s="2" t="inlineStr">
        <is>
          <t>Global Trade Outlook and Statistics（2026年3月版）</t>
        </is>
      </c>
      <c r="E86" s="2" t="inlineStr">
        <is>
          <t>贸易流</t>
        </is>
      </c>
      <c r="F86" s="2" t="inlineStr">
        <is>
          <t>A+</t>
        </is>
      </c>
      <c r="G86" s="2" t="n">
        <v>1</v>
      </c>
      <c r="H86" s="2" t="n">
        <v>2</v>
      </c>
      <c r="I86" s="3" t="n">
        <v>1</v>
      </c>
      <c r="J86" s="3" t="n">
        <v>2</v>
      </c>
      <c r="K86" s="2" t="inlineStr">
        <is>
          <t>全球贸易展望，提供背景但非中间品依赖/原产地风险的直接证据</t>
        </is>
      </c>
      <c r="L86" s="2" t="inlineStr">
        <is>
          <t>世界贸易组织（WTO）</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35 Appendix Table 1: Leading exporters and importers in world merchandise trade, 2025 (Billion dollars and percentage) Rank Exporters Value Share Annual percentage change Rank Importers Value Share Annual percentage change 1 China 3,772 14. 4 5 1 United States of America 3,507 13</t>
        </is>
      </c>
    </row>
    <row r="87">
      <c r="A87" s="2" t="inlineStr">
        <is>
          <t>Q018</t>
        </is>
      </c>
      <c r="B87" s="2" t="n">
        <v>1</v>
      </c>
      <c r="C87" s="2" t="inlineStr">
        <is>
          <t>CASE_002</t>
        </is>
      </c>
      <c r="D87" s="2" t="inlineStr">
        <is>
          <t>美国对东南亚四国光伏产品反规避认定：视为中国原产并适用对华双反</t>
        </is>
      </c>
      <c r="E87" s="2" t="inlineStr">
        <is>
          <t>反规避</t>
        </is>
      </c>
      <c r="F87" s="2" t="inlineStr">
        <is>
          <t>S</t>
        </is>
      </c>
      <c r="G87" s="2" t="n">
        <v>2</v>
      </c>
      <c r="H87" s="2" t="n">
        <v>2</v>
      </c>
      <c r="I87" s="3" t="n">
        <v>2</v>
      </c>
      <c r="J87" s="3" t="n">
        <v>2</v>
      </c>
      <c r="K87" s="2" t="inlineStr">
        <is>
          <t>反规避「认定规避」，直接支撑风险未隔离</t>
        </is>
      </c>
      <c r="L87" s="2" t="inlineStr">
        <is>
          <t>美国商务部（经律所解读）</t>
        </is>
      </c>
      <c r="M87" s="2" t="inlineStr">
        <is>
          <t>Supply Chain Risk</t>
        </is>
      </c>
      <c r="N87" s="2" t="inlineStr">
        <is>
          <t>supply_chain</t>
        </is>
      </c>
      <c r="O87" s="2" t="inlineStr">
        <is>
          <t>CASE_001; CASE_002; CASE_003; CASE_008; TRD_003</t>
        </is>
      </c>
      <c r="P87" s="2" t="inlineStr">
        <is>
          <t>管理层正在比较中国本土生产与东南亚生产。现有案例是否表明仅把最终生产环节迁往东南亚并不能完全隔离贸易与供应链风险？</t>
        </is>
      </c>
      <c r="Q8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88">
      <c r="A88" s="2" t="inlineStr">
        <is>
          <t>Q018</t>
        </is>
      </c>
      <c r="B88" s="2" t="n">
        <v>2</v>
      </c>
      <c r="C88" s="2" t="inlineStr">
        <is>
          <t>TRD_003</t>
        </is>
      </c>
      <c r="D88" s="2" t="inlineStr">
        <is>
          <t>中国对越南、泰国、马来西亚出口 HS 8541/8542（中间品），2018–2025年度</t>
        </is>
      </c>
      <c r="E88" s="2" t="inlineStr">
        <is>
          <t>贸易流</t>
        </is>
      </c>
      <c r="F88" s="2" t="inlineStr">
        <is>
          <t>A+</t>
        </is>
      </c>
      <c r="G88" s="2" t="n">
        <v>2</v>
      </c>
      <c r="H88" s="2" t="n">
        <v>2</v>
      </c>
      <c r="I88" s="3" t="n">
        <v>2</v>
      </c>
      <c r="J88" s="3" t="n">
        <v>2</v>
      </c>
      <c r="K88" s="2" t="inlineStr">
        <is>
          <t>中国对东南亚中间品出口数据，直接支撑「依赖未隔离」判断</t>
        </is>
      </c>
      <c r="L88" s="2" t="inlineStr">
        <is>
          <t>联合国商品贸易统计数据库（UN Comtrade）</t>
        </is>
      </c>
      <c r="M88" s="2" t="inlineStr">
        <is>
          <t>Supply Chain Risk</t>
        </is>
      </c>
      <c r="N88" s="2" t="inlineStr">
        <is>
          <t>supply_chain</t>
        </is>
      </c>
      <c r="O88" s="2" t="inlineStr">
        <is>
          <t>CASE_001; CASE_002; CASE_003; CASE_008; TRD_003</t>
        </is>
      </c>
      <c r="P88" s="2" t="inlineStr">
        <is>
          <t>管理层正在比较中国本土生产与东南亚生产。现有案例是否表明仅把最终生产环节迁往东南亚并不能完全隔离贸易与供应链风险？</t>
        </is>
      </c>
      <c r="Q88"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9">
      <c r="A89" s="2" t="inlineStr">
        <is>
          <t>Q018</t>
        </is>
      </c>
      <c r="B89" s="2" t="n">
        <v>3</v>
      </c>
      <c r="C89" s="2" t="inlineStr">
        <is>
          <t>CASE_008</t>
        </is>
      </c>
      <c r="D89" s="2" t="inlineStr">
        <is>
          <t>光模块厂商选择东南亚建厂以规避与欧美客户合作风险（中际旭创互动平台回复等）</t>
        </is>
      </c>
      <c r="E89" s="2" t="inlineStr">
        <is>
          <t>供应链布局</t>
        </is>
      </c>
      <c r="F89" s="2" t="inlineStr">
        <is>
          <t>B+</t>
        </is>
      </c>
      <c r="G89" s="2" t="n">
        <v>2</v>
      </c>
      <c r="H89" s="2" t="n">
        <v>1</v>
      </c>
      <c r="I89" s="3" t="n">
        <v>2</v>
      </c>
      <c r="J89" s="3" t="n">
        <v>1</v>
      </c>
      <c r="K89" s="2" t="inlineStr">
        <is>
          <t>东南亚建厂规避欧美客户风险，直接案例</t>
        </is>
      </c>
      <c r="L89" s="2" t="inlineStr">
        <is>
          <t>中国基金报</t>
        </is>
      </c>
      <c r="M89" s="2" t="inlineStr">
        <is>
          <t>Supply Chain Risk</t>
        </is>
      </c>
      <c r="N89" s="2" t="inlineStr">
        <is>
          <t>supply_chain</t>
        </is>
      </c>
      <c r="O89" s="2" t="inlineStr">
        <is>
          <t>CASE_001; CASE_002; CASE_003; CASE_008; TRD_003</t>
        </is>
      </c>
      <c r="P89" s="2" t="inlineStr">
        <is>
          <t>管理层正在比较中国本土生产与东南亚生产。现有案例是否表明仅把最终生产环节迁往东南亚并不能完全隔离贸易与供应链风险？</t>
        </is>
      </c>
      <c r="Q89"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0">
      <c r="A90" s="2" t="inlineStr">
        <is>
          <t>Q018</t>
        </is>
      </c>
      <c r="B90" s="2" t="n">
        <v>4</v>
      </c>
      <c r="C90" s="2" t="inlineStr">
        <is>
          <t>DHS_001</t>
        </is>
      </c>
      <c r="D90" s="2" t="inlineStr">
        <is>
          <t>Notice Regarding the Uyghur Forced Labor Prevention Act Entity List（UFLPA 实体清单更新公告）</t>
        </is>
      </c>
      <c r="E90" s="2" t="inlineStr">
        <is>
          <t>劳工</t>
        </is>
      </c>
      <c r="F90" s="2" t="inlineStr">
        <is>
          <t>S</t>
        </is>
      </c>
      <c r="G90" s="2" t="n">
        <v>0</v>
      </c>
      <c r="H90" s="2" t="n">
        <v>2</v>
      </c>
      <c r="I90" s="3" t="n">
        <v>0</v>
      </c>
      <c r="J90" s="3" t="n">
        <v>2</v>
      </c>
      <c r="K90" s="2" t="inlineStr">
        <is>
          <t>不涉及产能布局与供应链依赖，与‘外移最终环节能否隔离风险’无关</t>
        </is>
      </c>
      <c r="L90" s="2" t="inlineStr">
        <is>
          <t>美国国土安全部（DHS，Federal Register）</t>
        </is>
      </c>
      <c r="M90" s="2" t="inlineStr">
        <is>
          <t>Supply Chain Risk</t>
        </is>
      </c>
      <c r="N90" s="2" t="inlineStr">
        <is>
          <t>supply_chain</t>
        </is>
      </c>
      <c r="O90" s="2" t="inlineStr">
        <is>
          <t>CASE_001; CASE_002; CASE_003; CASE_008; TRD_003</t>
        </is>
      </c>
      <c r="P90" s="2" t="inlineStr">
        <is>
          <t>管理层正在比较中国本土生产与东南亚生产。现有案例是否表明仅把最终生产环节迁往东南亚并不能完全隔离贸易与供应链风险？</t>
        </is>
      </c>
      <c r="Q9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91">
      <c r="A91" s="2" t="inlineStr">
        <is>
          <t>Q018</t>
        </is>
      </c>
      <c r="B91" s="2" t="n">
        <v>5</v>
      </c>
      <c r="C91" s="2" t="inlineStr">
        <is>
          <t>MOFCOM_003</t>
        </is>
      </c>
      <c r="D91" s="2" t="inlineStr">
        <is>
          <t>对外投资合作国别（地区）指南：越南（2025年版）</t>
        </is>
      </c>
      <c r="E91" s="2" t="inlineStr">
        <is>
          <t>对外投资</t>
        </is>
      </c>
      <c r="F91" s="2" t="inlineStr">
        <is>
          <t>S</t>
        </is>
      </c>
      <c r="G91" s="2" t="n">
        <v>0</v>
      </c>
      <c r="H91" s="2" t="n">
        <v>2</v>
      </c>
      <c r="I91" s="3" t="n">
        <v>1</v>
      </c>
      <c r="J91" s="3" t="n">
        <v>2</v>
      </c>
      <c r="K91" s="2" t="inlineStr">
        <is>
          <t>越南指南提示「政局稳定/政策连续」但要求投资前做政治与商业风险评估、劳务与合规合规成本，可作为「仅迁最终环节仍需承担东道国制度性风险」的辅助论据；非本题 gold ｜ 人工判定与Auto(0)不同，请复核</t>
        </is>
      </c>
      <c r="L91" s="2" t="inlineStr">
        <is>
          <t>商务部对外投资和经济合作司、商务部国际贸易经济合作研究院、中国驻越南大使馆经济商务处</t>
        </is>
      </c>
      <c r="M91" s="2" t="inlineStr">
        <is>
          <t>Supply Chain Risk</t>
        </is>
      </c>
      <c r="N91" s="2" t="inlineStr">
        <is>
          <t>supply_chain</t>
        </is>
      </c>
      <c r="O91" s="2" t="inlineStr">
        <is>
          <t>CASE_001; CASE_002; CASE_003; CASE_008; TRD_003</t>
        </is>
      </c>
      <c r="P91" s="2" t="inlineStr">
        <is>
          <t>管理层正在比较中国本土生产与东南亚生产。现有案例是否表明仅把最终生产环节迁往东南亚并不能完全隔离贸易与供应链风险？</t>
        </is>
      </c>
      <c r="Q91" s="2" t="inlineStr">
        <is>
          <t>商务部以习近平新时代中国特色社会主义思想为指导，深入学习贯彻党的二十大和二十届历次 全会精神，按照党的二十届四中全会决策部署，有效实施对外投资管理，健全海外综合服务体系， 促进贸易投资一体化，引导产业链供应链合理有序跨境布局。 坚持统筹发展和安全，鼓励和支持有 实力、信誉好、有国际竞争力的企业开展产供链国际合作，持续提升跨国经营能力。 当前，世界百年未有之大变局加速演进，国际力量对比深刻调整，大国博弈更加复杂激烈，单 边主义、保护主义抬头，经济全球化遭遇逆流。 同时，以人工智能为代表的新一代技术革命和产业 变革深入发展，为国际经贸合作注入新动能、创造新模</t>
        </is>
      </c>
    </row>
    <row r="92">
      <c r="A92" s="2" t="inlineStr">
        <is>
          <t>Q019</t>
        </is>
      </c>
      <c r="B92" s="2" t="n">
        <v>1</v>
      </c>
      <c r="C92" s="2" t="inlineStr">
        <is>
          <t>CASE_001</t>
        </is>
      </c>
      <c r="D92" s="2" t="inlineStr">
        <is>
          <t>Dawang Metals：客户订单转移印度后回流，企业放弃海外建厂</t>
        </is>
      </c>
      <c r="E92" s="2" t="inlineStr">
        <is>
          <t>供应链布局</t>
        </is>
      </c>
      <c r="F92" s="2" t="inlineStr">
        <is>
          <t>B+</t>
        </is>
      </c>
      <c r="G92" s="2" t="n">
        <v>2</v>
      </c>
      <c r="H92" s="2" t="n">
        <v>1</v>
      </c>
      <c r="I92" s="3" t="n">
        <v>2</v>
      </c>
      <c r="J92" s="3" t="n">
        <v>1</v>
      </c>
      <c r="K92" s="2" t="inlineStr">
        <is>
          <t>订单回流、放弃海外建厂，直接说明布局调整与执行风险</t>
        </is>
      </c>
      <c r="L92" s="2" t="inlineStr">
        <is>
          <t>路透社（Reuters）</t>
        </is>
      </c>
      <c r="M92" s="2" t="inlineStr">
        <is>
          <t>Supply Chain Risk</t>
        </is>
      </c>
      <c r="N92" s="2" t="inlineStr">
        <is>
          <t>supply_chain</t>
        </is>
      </c>
      <c r="O92" s="2" t="inlineStr">
        <is>
          <t>CASE_001; CASE_004; CASE_005; CASE_006; CASE_008; KPMG_001</t>
        </is>
      </c>
      <c r="P92" s="2" t="inlineStr">
        <is>
          <t>我们要做供应链韧性方案，哪些证据可以说明大企业正在调整供应链布局，以及企业在海外扩产时可能面临哪些执行风险？</t>
        </is>
      </c>
      <c r="Q9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3">
      <c r="A93" s="2" t="inlineStr">
        <is>
          <t>Q019</t>
        </is>
      </c>
      <c r="B93" s="2" t="n">
        <v>2</v>
      </c>
      <c r="C93" s="2" t="inlineStr">
        <is>
          <t>KPMG_001</t>
        </is>
      </c>
      <c r="D93" s="2" t="inlineStr">
        <is>
          <t>KPMG 2026 US Supply Chain Survey</t>
        </is>
      </c>
      <c r="E93" s="2" t="inlineStr">
        <is>
          <t>供应链布局</t>
        </is>
      </c>
      <c r="F93" s="2" t="inlineStr">
        <is>
          <t>A</t>
        </is>
      </c>
      <c r="G93" s="2" t="n">
        <v>2</v>
      </c>
      <c r="H93" s="2" t="n">
        <v>2</v>
      </c>
      <c r="I93" s="3" t="n">
        <v>2</v>
      </c>
      <c r="J93" s="3" t="n">
        <v>2</v>
      </c>
      <c r="K93" s="2" t="inlineStr">
        <is>
          <t>KPMG供应链调查，直接提供企业执行风险证据</t>
        </is>
      </c>
      <c r="L93" s="2" t="inlineStr">
        <is>
          <t>毕马威（KPMG）</t>
        </is>
      </c>
      <c r="M93" s="2" t="inlineStr">
        <is>
          <t>Supply Chain Risk</t>
        </is>
      </c>
      <c r="N93" s="2" t="inlineStr">
        <is>
          <t>supply_chain</t>
        </is>
      </c>
      <c r="O93" s="2" t="inlineStr">
        <is>
          <t>CASE_001; CASE_004; CASE_005; CASE_006; CASE_008; KPMG_001</t>
        </is>
      </c>
      <c r="P93" s="2" t="inlineStr">
        <is>
          <t>我们要做供应链韧性方案，哪些证据可以说明大企业正在调整供应链布局，以及企业在海外扩产时可能面临哪些执行风险？</t>
        </is>
      </c>
      <c r="Q93" s="2" t="inlineStr">
        <is>
          <t>Evidence ID: KPMG_001 Title: KPMG 2026 US Supply Chain Survey Publisher: 毕马威（KPMG） Country/Jurisdiction: US / Federal Publication date: 2026-05-01 Status: CURRENT Topic: 供应链布局 Applicability scope: GENERAL Related industries: 通用 Key finding: 样本为462位年营收10亿美元以上企业的供应链负责人。样本是美国大企业，不代表</t>
        </is>
      </c>
    </row>
    <row r="94">
      <c r="A94" s="2" t="inlineStr">
        <is>
          <t>Q019</t>
        </is>
      </c>
      <c r="B94" s="2" t="n">
        <v>3</v>
      </c>
      <c r="C94" s="2" t="inlineStr">
        <is>
          <t>SNE_001</t>
        </is>
      </c>
      <c r="D94" s="2" t="inlineStr">
        <is>
          <t>January-August 2026 Global EV Battery Usage Reaches 844.2 GWh, Up 19.7% Year-on-Year（2026年1–8月全球动力电池装车量快报）</t>
        </is>
      </c>
      <c r="E94" s="2" t="inlineStr">
        <is>
          <t>供应链布局</t>
        </is>
      </c>
      <c r="F94" s="2" t="inlineStr">
        <is>
          <t>B</t>
        </is>
      </c>
      <c r="G94" s="2" t="n">
        <v>1</v>
      </c>
      <c r="H94" s="2" t="n">
        <v>1</v>
      </c>
      <c r="I94" s="3" t="n">
        <v>1</v>
      </c>
      <c r="J94" s="3" t="n">
        <v>1</v>
      </c>
      <c r="K94" s="2" t="inlineStr">
        <is>
          <t>全球电池装车量与厂商份额，可佐证头部企业供给格局，但不涉及企业布局调整与扩产执行风险</t>
        </is>
      </c>
      <c r="L94" s="2" t="inlineStr">
        <is>
          <t>SNE Research</t>
        </is>
      </c>
      <c r="M94" s="2" t="inlineStr">
        <is>
          <t>Supply Chain Risk</t>
        </is>
      </c>
      <c r="N94" s="2" t="inlineStr">
        <is>
          <t>supply_chain</t>
        </is>
      </c>
      <c r="O94" s="2" t="inlineStr">
        <is>
          <t>CASE_001; CASE_004; CASE_005; CASE_006; CASE_008; KPMG_001</t>
        </is>
      </c>
      <c r="P94" s="2" t="inlineStr">
        <is>
          <t>我们要做供应链韧性方案，哪些证据可以说明大企业正在调整供应链布局，以及企业在海外扩产时可能面临哪些执行风险？</t>
        </is>
      </c>
      <c r="Q9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95">
      <c r="A95" s="2" t="inlineStr">
        <is>
          <t>Q019</t>
        </is>
      </c>
      <c r="B95" s="2" t="n">
        <v>4</v>
      </c>
      <c r="C95" s="2" t="inlineStr">
        <is>
          <t>CASE_008</t>
        </is>
      </c>
      <c r="D95" s="2" t="inlineStr">
        <is>
          <t>光模块厂商选择东南亚建厂以规避与欧美客户合作风险（中际旭创互动平台回复等）</t>
        </is>
      </c>
      <c r="E95" s="2" t="inlineStr">
        <is>
          <t>供应链布局</t>
        </is>
      </c>
      <c r="F95" s="2" t="inlineStr">
        <is>
          <t>B+</t>
        </is>
      </c>
      <c r="G95" s="2" t="n">
        <v>2</v>
      </c>
      <c r="H95" s="2" t="n">
        <v>1</v>
      </c>
      <c r="I95" s="3" t="n">
        <v>2</v>
      </c>
      <c r="J95" s="3" t="n">
        <v>1</v>
      </c>
      <c r="K95" s="2" t="inlineStr">
        <is>
          <t>东南亚建厂规避客户风险，直接说明布局调整</t>
        </is>
      </c>
      <c r="L95" s="2" t="inlineStr">
        <is>
          <t>中国基金报</t>
        </is>
      </c>
      <c r="M95" s="2" t="inlineStr">
        <is>
          <t>Supply Chain Risk</t>
        </is>
      </c>
      <c r="N95" s="2" t="inlineStr">
        <is>
          <t>supply_chain</t>
        </is>
      </c>
      <c r="O95" s="2" t="inlineStr">
        <is>
          <t>CASE_001; CASE_004; CASE_005; CASE_006; CASE_008; KPMG_001</t>
        </is>
      </c>
      <c r="P95" s="2" t="inlineStr">
        <is>
          <t>我们要做供应链韧性方案，哪些证据可以说明大企业正在调整供应链布局，以及企业在海外扩产时可能面临哪些执行风险？</t>
        </is>
      </c>
      <c r="Q95"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6">
      <c r="A96" s="2" t="inlineStr">
        <is>
          <t>Q019</t>
        </is>
      </c>
      <c r="B96" s="2" t="n">
        <v>5</v>
      </c>
      <c r="C96" s="2" t="inlineStr">
        <is>
          <t>TSLA_001</t>
        </is>
      </c>
      <c r="D96" s="2" t="inlineStr">
        <is>
          <t>Tesla, Inc. Form 10-K（fiscal year ended December 31, 2025）特斯拉2025财年年报</t>
        </is>
      </c>
      <c r="E96" s="2" t="inlineStr">
        <is>
          <t>供应链布局</t>
        </is>
      </c>
      <c r="F96" s="2" t="inlineStr">
        <is>
          <t>S</t>
        </is>
      </c>
      <c r="G96" s="2" t="n">
        <v>1</v>
      </c>
      <c r="H96" s="2" t="n">
        <v>2</v>
      </c>
      <c r="I96" s="3" t="n">
        <v>1</v>
      </c>
      <c r="J96" s="3" t="n">
        <v>2</v>
      </c>
      <c r="K96" s="2" t="inlineStr">
        <is>
          <t>特斯拉 10-K 披露全球产能与供应链风险，可作为「大企业持续调整供应链布局」的补充证据；但本题 gold 为中国企业海外扩产案例与企业供应链调查（KPMG_001）</t>
        </is>
      </c>
      <c r="L96" s="2" t="inlineStr">
        <is>
          <t>特斯拉公司（Tesla, Inc.，SEC EDGAR）</t>
        </is>
      </c>
      <c r="M96" s="2" t="inlineStr">
        <is>
          <t>Supply Chain Risk</t>
        </is>
      </c>
      <c r="N96" s="2" t="inlineStr">
        <is>
          <t>supply_chain</t>
        </is>
      </c>
      <c r="O96" s="2" t="inlineStr">
        <is>
          <t>CASE_001; CASE_004; CASE_005; CASE_006; CASE_008; KPMG_001</t>
        </is>
      </c>
      <c r="P96" s="2" t="inlineStr">
        <is>
          <t>我们要做供应链韧性方案，哪些证据可以说明大企业正在调整供应链布局，以及企业在海外扩产时可能面临哪些执行风险？</t>
        </is>
      </c>
      <c r="Q96"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98">
      <c r="A98" s="2" t="inlineStr">
        <is>
          <t>Q020</t>
        </is>
      </c>
      <c r="B98" s="2" t="n">
        <v>2</v>
      </c>
      <c r="C98" s="2" t="inlineStr">
        <is>
          <t>WH_002</t>
        </is>
      </c>
      <c r="D98" s="2" t="inlineStr">
        <is>
          <t>The Great Transshipment Scam: Rise, Scope, and Costs（白宫非法转运报告）</t>
        </is>
      </c>
      <c r="E98" s="2" t="inlineStr">
        <is>
          <t>原产地与转运</t>
        </is>
      </c>
      <c r="F98" s="2" t="inlineStr">
        <is>
          <t>S</t>
        </is>
      </c>
      <c r="G98" s="2" t="n">
        <v>2</v>
      </c>
      <c r="H98" s="2" t="n">
        <v>2</v>
      </c>
      <c r="I98" s="3" t="n">
        <v>2</v>
      </c>
      <c r="J98" s="3" t="n">
        <v>2</v>
      </c>
      <c r="K98" s="2" t="inlineStr">
        <is>
          <t>转运审查，直接</t>
        </is>
      </c>
      <c r="L98" s="2" t="inlineStr">
        <is>
          <t>美国白宫贸易与制造业政策办公室</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99">
      <c r="A99" s="2" t="inlineStr">
        <is>
          <t>Q020</t>
        </is>
      </c>
      <c r="B99" s="2" t="n">
        <v>3</v>
      </c>
      <c r="C99" s="2" t="inlineStr">
        <is>
          <t>CSIS_001</t>
        </is>
      </c>
      <c r="D99" s="2" t="inlineStr">
        <is>
          <t>The Visibility Gap: How AI Can Stop Chinese Transshipment Under USMCA</t>
        </is>
      </c>
      <c r="E99" s="2" t="inlineStr">
        <is>
          <t>原产地与转运</t>
        </is>
      </c>
      <c r="F99" s="2" t="inlineStr">
        <is>
          <t>A</t>
        </is>
      </c>
      <c r="G99" s="2" t="n">
        <v>2</v>
      </c>
      <c r="H99" s="2" t="n">
        <v>2</v>
      </c>
      <c r="I99" s="3" t="n">
        <v>2</v>
      </c>
      <c r="J99" s="3" t="n">
        <v>2</v>
      </c>
      <c r="K99" s="2" t="inlineStr">
        <is>
          <t>本题 expected 证据：USMCA 下中国转运可视化与执法分析</t>
        </is>
      </c>
      <c r="L99" s="2" t="inlineStr">
        <is>
          <t>战略与国际研究中心（CSIS）</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00">
      <c r="A100" s="2" t="inlineStr">
        <is>
          <t>Q020</t>
        </is>
      </c>
      <c r="B100" s="2" t="n">
        <v>4</v>
      </c>
      <c r="C100" s="2" t="inlineStr">
        <is>
          <t>WTO_001</t>
        </is>
      </c>
      <c r="D100" s="2" t="inlineStr">
        <is>
          <t>Global Trade Outlook and Statistics（2026年3月版）</t>
        </is>
      </c>
      <c r="E100" s="2" t="inlineStr">
        <is>
          <t>贸易流</t>
        </is>
      </c>
      <c r="F100" s="2" t="inlineStr">
        <is>
          <t>A+</t>
        </is>
      </c>
      <c r="G100" s="2" t="n">
        <v>1</v>
      </c>
      <c r="H100" s="2" t="n">
        <v>2</v>
      </c>
      <c r="I100" s="3" t="n">
        <v>1</v>
      </c>
      <c r="J100" s="3" t="n">
        <v>2</v>
      </c>
      <c r="K100" s="2" t="inlineStr">
        <is>
          <t>全球贸易展望，提供宏观背景，非集中度/转运审查直接证据</t>
        </is>
      </c>
      <c r="L100" s="2" t="inlineStr">
        <is>
          <t>世界贸易组织（WTO）</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The total decline in the value of exports to the United States in 2025 was about US$ 105 billion, while the increase to other destinations was almost three times as high at US$ 301 billion. These statistics suggest that more than just trade diversion is at play. Excess capacity i</t>
        </is>
      </c>
    </row>
    <row r="101">
      <c r="A101" s="2" t="inlineStr">
        <is>
          <t>Q020</t>
        </is>
      </c>
      <c r="B101" s="2" t="n">
        <v>5</v>
      </c>
      <c r="C101" s="2" t="inlineStr">
        <is>
          <t>TRD_001</t>
        </is>
      </c>
      <c r="D101" s="2" t="inlineStr">
        <is>
          <t>美国自中国、越南、泰国、马来西亚进口 HS 870380, 850760，2018–2025年度</t>
        </is>
      </c>
      <c r="E101" s="2" t="inlineStr">
        <is>
          <t>贸易流</t>
        </is>
      </c>
      <c r="F101" s="2" t="inlineStr">
        <is>
          <t>A+</t>
        </is>
      </c>
      <c r="G101" s="2" t="n">
        <v>2</v>
      </c>
      <c r="H101" s="2" t="n">
        <v>2</v>
      </c>
      <c r="I101" s="3" t="n">
        <v>2</v>
      </c>
      <c r="J101" s="3" t="n">
        <v>2</v>
      </c>
      <c r="K101" s="2" t="inlineStr">
        <is>
          <t>本题 expected 证据：美国自中/越/泰/马进口 EV 与锂电池数据，直接支撑地理集中度评估</t>
        </is>
      </c>
      <c r="L101" s="2" t="inlineStr">
        <is>
          <t>联合国商品贸易统计数据库（UN Comtrade）</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02">
      <c r="A102" s="2" t="inlineStr">
        <is>
          <t>Q021</t>
        </is>
      </c>
      <c r="B102" s="2" t="n">
        <v>1</v>
      </c>
      <c r="C102" s="2" t="inlineStr">
        <is>
          <t>CSIS_001</t>
        </is>
      </c>
      <c r="D102" s="2" t="inlineStr">
        <is>
          <t>The Visibility Gap: How AI Can Stop Chinese Transshipment Under USMCA</t>
        </is>
      </c>
      <c r="E102" s="2" t="inlineStr">
        <is>
          <t>原产地与转运</t>
        </is>
      </c>
      <c r="F102" s="2" t="inlineStr">
        <is>
          <t>A</t>
        </is>
      </c>
      <c r="G102" s="2" t="n">
        <v>2</v>
      </c>
      <c r="H102" s="2" t="n">
        <v>2</v>
      </c>
      <c r="I102" s="3" t="n">
        <v>2</v>
      </c>
      <c r="J102" s="3" t="n">
        <v>2</v>
      </c>
      <c r="K102" s="2" t="inlineStr">
        <is>
          <t>AI识别虚假原产地，直接</t>
        </is>
      </c>
      <c r="L102" s="2" t="inlineStr">
        <is>
          <t>战略与国际研究中心（CSIS）</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03">
      <c r="A103" s="2" t="inlineStr">
        <is>
          <t>Q021</t>
        </is>
      </c>
      <c r="B103" s="2" t="n">
        <v>2</v>
      </c>
      <c r="C103" s="2" t="inlineStr">
        <is>
          <t>CASE_010</t>
        </is>
      </c>
      <c r="D103" s="2" t="inlineStr">
        <is>
          <t>白宫点名东南亚为非法转运高风险地区，并推出AI执法工具</t>
        </is>
      </c>
      <c r="E103" s="2" t="inlineStr">
        <is>
          <t>原产地与转运</t>
        </is>
      </c>
      <c r="F103" s="2" t="inlineStr">
        <is>
          <t>S</t>
        </is>
      </c>
      <c r="G103" s="2" t="n">
        <v>2</v>
      </c>
      <c r="H103" s="2" t="n">
        <v>2</v>
      </c>
      <c r="I103" s="3" t="n">
        <v>2</v>
      </c>
      <c r="J103" s="3" t="n">
        <v>2</v>
      </c>
      <c r="K103" s="2" t="inlineStr">
        <is>
          <t>点名东南亚转运高风险，直接</t>
        </is>
      </c>
      <c r="L103" s="2" t="inlineStr">
        <is>
          <t>美国白宫（经律所解读）</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4">
      <c r="A104" s="2" t="inlineStr">
        <is>
          <t>Q021</t>
        </is>
      </c>
      <c r="B104" s="2" t="n">
        <v>3</v>
      </c>
      <c r="C104" s="2" t="inlineStr">
        <is>
          <t>USMCA_001</t>
        </is>
      </c>
      <c r="D104" s="2" t="inlineStr">
        <is>
          <t>USMCA Chapter 4: Rules of Origin（美墨加协定第4章原产地规则）</t>
        </is>
      </c>
      <c r="E104" s="2" t="inlineStr">
        <is>
          <t>原产地与转运</t>
        </is>
      </c>
      <c r="F104" s="2" t="inlineStr">
        <is>
          <t>S</t>
        </is>
      </c>
      <c r="G104" s="2" t="n">
        <v>1</v>
      </c>
      <c r="H104" s="2" t="n">
        <v>2</v>
      </c>
      <c r="I104" s="3" t="n">
        <v>1</v>
      </c>
      <c r="J104" s="3" t="n">
        <v>2</v>
      </c>
      <c r="K104" s="2" t="inlineStr">
        <is>
          <t>USMCA 原产地成分门槛可作为‘原产地需实质举证’的同类规则参照，但本题聚焦美方对东南亚转运与原产地的执法</t>
        </is>
      </c>
      <c r="L104" s="2" t="inlineStr">
        <is>
          <t>美国贸易代表办公室（USTR）</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05">
      <c r="A105" s="2" t="inlineStr">
        <is>
          <t>Q021</t>
        </is>
      </c>
      <c r="B105" s="2" t="n">
        <v>4</v>
      </c>
      <c r="C105" s="2" t="inlineStr">
        <is>
          <t>WH_002</t>
        </is>
      </c>
      <c r="D105" s="2" t="inlineStr">
        <is>
          <t>The Great Transshipment Scam: Rise, Scope, and Costs（白宫非法转运报告）</t>
        </is>
      </c>
      <c r="E105" s="2" t="inlineStr">
        <is>
          <t>原产地与转运</t>
        </is>
      </c>
      <c r="F105" s="2" t="inlineStr">
        <is>
          <t>S</t>
        </is>
      </c>
      <c r="G105" s="2" t="n">
        <v>2</v>
      </c>
      <c r="H105" s="2" t="n">
        <v>2</v>
      </c>
      <c r="I105" s="3" t="n">
        <v>2</v>
      </c>
      <c r="J105" s="3" t="n">
        <v>2</v>
      </c>
      <c r="K105" s="2" t="inlineStr">
        <is>
          <t>白宫转运报告，直接</t>
        </is>
      </c>
      <c r="L105" s="2" t="inlineStr">
        <is>
          <t>美国白宫贸易与制造业政策办公室</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6">
      <c r="A106" s="2" t="inlineStr">
        <is>
          <t>Q021</t>
        </is>
      </c>
      <c r="B106" s="2" t="n">
        <v>5</v>
      </c>
      <c r="C106" s="2" t="inlineStr">
        <is>
          <t>WH_001</t>
        </is>
      </c>
      <c r="D106" s="2" t="inlineStr">
        <is>
          <t>Executive Order 14411: Strengthening Customs Enforcement（加强海关执法行政令）</t>
        </is>
      </c>
      <c r="E106" s="2" t="inlineStr">
        <is>
          <t>原产地与转运</t>
        </is>
      </c>
      <c r="F106" s="2" t="inlineStr">
        <is>
          <t>S</t>
        </is>
      </c>
      <c r="G106" s="2" t="n">
        <v>2</v>
      </c>
      <c r="H106" s="2" t="n">
        <v>2</v>
      </c>
      <c r="I106" s="3" t="n">
        <v>2</v>
      </c>
      <c r="J106" s="3" t="n">
        <v>2</v>
      </c>
      <c r="K106" s="2" t="inlineStr">
        <is>
          <t>EO14411进口商问责，直接</t>
        </is>
      </c>
      <c r="L106" s="2" t="inlineStr">
        <is>
          <t>美国白宫</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CASE_009</t>
        </is>
      </c>
      <c r="D108" s="2" t="inlineStr">
        <is>
          <t>BIS 50%穿透规则：发布→暂停→2026-11-10恢复的完整时间线</t>
        </is>
      </c>
      <c r="E108" s="2" t="inlineStr">
        <is>
          <t>出口管制</t>
        </is>
      </c>
      <c r="F108" s="2" t="inlineStr">
        <is>
          <t>S</t>
        </is>
      </c>
      <c r="G108" s="2" t="n">
        <v>2</v>
      </c>
      <c r="H108" s="2" t="n">
        <v>2</v>
      </c>
      <c r="I108" s="3" t="n">
        <v>2</v>
      </c>
      <c r="J108" s="3" t="n">
        <v>2</v>
      </c>
      <c r="K108" s="2" t="inlineStr">
        <is>
          <t>完整时间线，直接</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09">
      <c r="A109" s="2" t="inlineStr">
        <is>
          <t>Q022</t>
        </is>
      </c>
      <c r="B109" s="2" t="n">
        <v>3</v>
      </c>
      <c r="C109" s="2" t="inlineStr">
        <is>
          <t>DHS_001</t>
        </is>
      </c>
      <c r="D109" s="2" t="inlineStr">
        <is>
          <t>Notice Regarding the Uyghur Forced Labor Prevention Act Entity List（UFLPA 实体清单更新公告）</t>
        </is>
      </c>
      <c r="E109" s="2" t="inlineStr">
        <is>
          <t>劳工</t>
        </is>
      </c>
      <c r="F109" s="2" t="inlineStr">
        <is>
          <t>S</t>
        </is>
      </c>
      <c r="G109" s="2" t="n">
        <v>0</v>
      </c>
      <c r="H109" s="2" t="n">
        <v>2</v>
      </c>
      <c r="I109" s="3" t="n">
        <v>0</v>
      </c>
      <c r="J109" s="3" t="n">
        <v>2</v>
      </c>
      <c r="K109" s="2" t="inlineStr">
        <is>
          <t>UFLPA 清单不是美国出口管制受限方清单，与受限方筛查流程无关</t>
        </is>
      </c>
      <c r="L109" s="2" t="inlineStr">
        <is>
          <t>美国国土安全部（DHS，Federal Register）</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10">
      <c r="A110" s="2" t="inlineStr">
        <is>
          <t>Q022</t>
        </is>
      </c>
      <c r="B110" s="2" t="n">
        <v>4</v>
      </c>
      <c r="C110" s="2" t="inlineStr">
        <is>
          <t>BIS_002</t>
        </is>
      </c>
      <c r="D110" s="2" t="inlineStr">
        <is>
          <t>One Year Suspension of Expansion of End-User Controls for Affiliates of Certain Listed Entities（关联企业规则暂停一年）</t>
        </is>
      </c>
      <c r="E110" s="2" t="inlineStr">
        <is>
          <t>出口管制</t>
        </is>
      </c>
      <c r="F110" s="2" t="inlineStr">
        <is>
          <t>S</t>
        </is>
      </c>
      <c r="G110" s="2" t="n">
        <v>2</v>
      </c>
      <c r="H110" s="2" t="n">
        <v>2</v>
      </c>
      <c r="I110" s="3" t="n">
        <v>2</v>
      </c>
      <c r="J110" s="3" t="n">
        <v>2</v>
      </c>
      <c r="K110" s="2" t="inlineStr">
        <is>
          <t>暂停令，直接回答时间判断</t>
        </is>
      </c>
      <c r="L110" s="2" t="inlineStr">
        <is>
          <t>美国商务部工业与安全局（BIS）</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11">
      <c r="A111" s="2" t="inlineStr">
        <is>
          <t>Q022</t>
        </is>
      </c>
      <c r="B111" s="2" t="n">
        <v>5</v>
      </c>
      <c r="C111" s="2" t="inlineStr">
        <is>
          <t>EU_001</t>
        </is>
      </c>
      <c r="D111" s="2" t="inlineStr">
        <is>
          <t>Regulation (EU) 2023/1542 concerning batteries and waste batteries（欧盟电池与废电池法规）</t>
        </is>
      </c>
      <c r="E111" s="2" t="inlineStr">
        <is>
          <t>市场准入</t>
        </is>
      </c>
      <c r="F111" s="2" t="inlineStr">
        <is>
          <t>S</t>
        </is>
      </c>
      <c r="G111" s="2" t="n">
        <v>0</v>
      </c>
      <c r="H111" s="2" t="n">
        <v>2</v>
      </c>
      <c r="I111" s="3" t="n">
        <v>0</v>
      </c>
      <c r="J111" s="3" t="n">
        <v>2</v>
      </c>
      <c r="K111" s="2" t="inlineStr">
        <is>
          <t>欧盟电池法规属欧盟市场准入要求，与‘客户被美国限制清单覆盖’的受限方筛查问题无关，属跨辖区噪声</t>
        </is>
      </c>
      <c r="L111" s="2" t="inlineStr">
        <is>
          <t>欧洲议会与欧盟理事会（EUR-Lex / Official Journal）</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12">
      <c r="A112" s="2" t="inlineStr">
        <is>
          <t>Q023</t>
        </is>
      </c>
      <c r="B112" s="2" t="n">
        <v>1</v>
      </c>
      <c r="C112" s="2" t="inlineStr">
        <is>
          <t>DOC_001</t>
        </is>
      </c>
      <c r="D112" s="2" t="inlineStr">
        <is>
          <t>Final Circumvention Determinations: Crystalline Silicon Photovoltaic Cells from Cambodia, Malaysia, Thailand and Vietnam（东南亚四国光伏反规避终裁）</t>
        </is>
      </c>
      <c r="E112" s="2" t="inlineStr">
        <is>
          <t>反规避</t>
        </is>
      </c>
      <c r="F112" s="2" t="inlineStr">
        <is>
          <t>S</t>
        </is>
      </c>
      <c r="G112" s="2" t="n">
        <v>2</v>
      </c>
      <c r="H112" s="2" t="n">
        <v>2</v>
      </c>
      <c r="I112" s="3" t="n">
        <v>2</v>
      </c>
      <c r="J112" s="3" t="n">
        <v>2</v>
      </c>
      <c r="K112" s="2" t="inlineStr">
        <is>
          <t>官方反规避终裁原文，直接</t>
        </is>
      </c>
      <c r="L112" s="2" t="inlineStr">
        <is>
          <t>美国商务部</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3">
      <c r="A113" s="2" t="inlineStr">
        <is>
          <t>Q023</t>
        </is>
      </c>
      <c r="B113" s="2" t="n">
        <v>2</v>
      </c>
      <c r="C113" s="2" t="inlineStr">
        <is>
          <t>CASE_002</t>
        </is>
      </c>
      <c r="D113" s="2" t="inlineStr">
        <is>
          <t>美国对东南亚四国光伏产品反规避认定：视为中国原产并适用对华双反</t>
        </is>
      </c>
      <c r="E113" s="2" t="inlineStr">
        <is>
          <t>反规避</t>
        </is>
      </c>
      <c r="F113" s="2" t="inlineStr">
        <is>
          <t>S</t>
        </is>
      </c>
      <c r="G113" s="2" t="n">
        <v>2</v>
      </c>
      <c r="H113" s="2" t="n">
        <v>2</v>
      </c>
      <c r="I113" s="3" t="n">
        <v>2</v>
      </c>
      <c r="J113" s="3" t="n">
        <v>2</v>
      </c>
      <c r="K113" s="2" t="inlineStr">
        <is>
          <t>“认定规避”判例，直接</t>
        </is>
      </c>
      <c r="L113" s="2" t="inlineStr">
        <is>
          <t>美国商务部（经律所解读）</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WH_002</t>
        </is>
      </c>
      <c r="D115" s="2" t="inlineStr">
        <is>
          <t>The Great Transshipment Scam: Rise, Scope, and Costs（白宫非法转运报告）</t>
        </is>
      </c>
      <c r="E115" s="2" t="inlineStr">
        <is>
          <t>原产地与转运</t>
        </is>
      </c>
      <c r="F115" s="2" t="inlineStr">
        <is>
          <t>S</t>
        </is>
      </c>
      <c r="G115" s="2" t="n">
        <v>2</v>
      </c>
      <c r="H115" s="2" t="n">
        <v>2</v>
      </c>
      <c r="I115" s="3" t="n">
        <v>2</v>
      </c>
      <c r="J115" s="3" t="n">
        <v>2</v>
      </c>
      <c r="K115" s="2" t="inlineStr">
        <is>
          <t>转运执法，直接</t>
        </is>
      </c>
      <c r="L115" s="2" t="inlineStr">
        <is>
          <t>美国白宫贸易与制造业政策办公室</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6">
      <c r="A116" s="2" t="inlineStr">
        <is>
          <t>Q023</t>
        </is>
      </c>
      <c r="B116" s="2" t="n">
        <v>5</v>
      </c>
      <c r="C116" s="2" t="inlineStr">
        <is>
          <t>USMCA_001</t>
        </is>
      </c>
      <c r="D116" s="2" t="inlineStr">
        <is>
          <t>USMCA Chapter 4: Rules of Origin（美墨加协定第4章原产地规则）</t>
        </is>
      </c>
      <c r="E116" s="2" t="inlineStr">
        <is>
          <t>原产地与转运</t>
        </is>
      </c>
      <c r="F116" s="2" t="inlineStr">
        <is>
          <t>S</t>
        </is>
      </c>
      <c r="G116" s="2" t="n">
        <v>1</v>
      </c>
      <c r="H116" s="2" t="n">
        <v>2</v>
      </c>
      <c r="I116" s="3" t="n">
        <v>0</v>
      </c>
      <c r="J116" s="3" t="n">
        <v>2</v>
      </c>
      <c r="K116" s="2" t="inlineStr">
        <is>
          <t>北美三边原产地规则与美方对东南亚光伏的反规避认定不属同一制度与产业，不构成对本题的借鉴 ｜ 人工判定与Auto(1)不同，请复核</t>
        </is>
      </c>
      <c r="L116" s="2" t="inlineStr">
        <is>
          <t>美国贸易代表办公室（USTR）</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CSIS_001</t>
        </is>
      </c>
      <c r="D120" s="2" t="inlineStr">
        <is>
          <t>The Visibility Gap: How AI Can Stop Chinese Transshipment Under USMCA</t>
        </is>
      </c>
      <c r="E120" s="2" t="inlineStr">
        <is>
          <t>原产地与转运</t>
        </is>
      </c>
      <c r="F120" s="2" t="inlineStr">
        <is>
          <t>A</t>
        </is>
      </c>
      <c r="G120" s="2" t="n">
        <v>2</v>
      </c>
      <c r="H120" s="2" t="n">
        <v>2</v>
      </c>
      <c r="I120" s="3" t="n">
        <v>2</v>
      </c>
      <c r="J120" s="3" t="n">
        <v>2</v>
      </c>
      <c r="K120" s="2" t="inlineStr">
        <is>
          <t>转运可见性分析，直接支撑美国强化转运执法的风险判断</t>
        </is>
      </c>
      <c r="L120" s="2" t="inlineStr">
        <is>
          <t>战略与国际研究中心（CSIS）</t>
        </is>
      </c>
      <c r="M120" s="2" t="inlineStr">
        <is>
          <t>Market Access</t>
        </is>
      </c>
      <c r="N120" s="2" t="inlineStr">
        <is>
          <t>market_access</t>
        </is>
      </c>
      <c r="O120" s="2" t="inlineStr">
        <is>
          <t>CASE_007; CASE_008; CASE_010; CSIS_001; WH_001; WH_002</t>
        </is>
      </c>
      <c r="P120" s="2" t="inlineStr">
        <is>
          <t>董事会想比较东南亚布局带来的市场准入机会与美国强化转运执法带来的风险。现有证据库中哪些政策和企业案例应一起看？</t>
        </is>
      </c>
      <c r="Q120"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21">
      <c r="A121" s="2" t="inlineStr">
        <is>
          <t>Q024</t>
        </is>
      </c>
      <c r="B121" s="2" t="n">
        <v>5</v>
      </c>
      <c r="C121" s="2" t="inlineStr">
        <is>
          <t>CASE_008</t>
        </is>
      </c>
      <c r="D121" s="2" t="inlineStr">
        <is>
          <t>光模块厂商选择东南亚建厂以规避与欧美客户合作风险（中际旭创互动平台回复等）</t>
        </is>
      </c>
      <c r="E121" s="2" t="inlineStr">
        <is>
          <t>供应链布局</t>
        </is>
      </c>
      <c r="F121" s="2" t="inlineStr">
        <is>
          <t>B+</t>
        </is>
      </c>
      <c r="G121" s="2" t="n">
        <v>2</v>
      </c>
      <c r="H121" s="2" t="n">
        <v>1</v>
      </c>
      <c r="I121" s="3" t="n">
        <v>2</v>
      </c>
      <c r="J121" s="3" t="n">
        <v>1</v>
      </c>
      <c r="K121" s="2" t="inlineStr">
        <is>
          <t>东南亚建厂规避客户风险，直接说明市场准入机会</t>
        </is>
      </c>
      <c r="L121" s="2" t="inlineStr">
        <is>
          <t>中国基金报</t>
        </is>
      </c>
      <c r="M121" s="2" t="inlineStr">
        <is>
          <t>Market Access</t>
        </is>
      </c>
      <c r="N121" s="2" t="inlineStr">
        <is>
          <t>market_access</t>
        </is>
      </c>
      <c r="O121" s="2" t="inlineStr">
        <is>
          <t>CASE_007; CASE_008; CASE_010; CSIS_001; WH_001; WH_002</t>
        </is>
      </c>
      <c r="P121" s="2" t="inlineStr">
        <is>
          <t>董事会想比较东南亚布局带来的市场准入机会与美国强化转运执法带来的风险。现有证据库中哪些政策和企业案例应一起看？</t>
        </is>
      </c>
      <c r="Q121"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MOFCOM_004</t>
        </is>
      </c>
      <c r="D125" s="2" t="inlineStr">
        <is>
          <t>对外投资合作国别（地区）指南：马来西亚（2025年版）</t>
        </is>
      </c>
      <c r="E125" s="2" t="inlineStr">
        <is>
          <t>对外投资</t>
        </is>
      </c>
      <c r="F125" s="2" t="inlineStr">
        <is>
          <t>S</t>
        </is>
      </c>
      <c r="G125" s="2" t="n">
        <v>0</v>
      </c>
      <c r="H125" s="2" t="n">
        <v>2</v>
      </c>
      <c r="I125" s="3" t="n">
        <v>1</v>
      </c>
      <c r="J125" s="3" t="n">
        <v>2</v>
      </c>
      <c r="K125" s="2" t="inlineStr">
        <is>
          <t>马来西亚国别投资环境指南可支撑「进入海外市场如何理解外部环境」，但本题问的是全球贸易放缓/战略行业投资的宏观证据（IMF/MCK/UNCTAD/WEF/WTO）；人工判定与Auto(0)不同请复核 ｜ 人工判定与Auto(0)不同，请复核</t>
        </is>
      </c>
      <c r="L125" s="2" t="inlineStr">
        <is>
          <t>商务部对外投资和经济合作司、商务部国际贸易经济合作研究院、中国驻马来西亚大使馆经济商务处</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4. 投资环境 4.1 投资吸引力 马来西亚政府欢迎和鼓励外国投资者对其制造业及相关服务业进行投资，近年来一 直致力于改善投资环境、完善投资法律、加强投资激励，以吸引外资进入马来西亚的相 关行业。由于马来西亚投资法律体系完备、与国际通行标准接轨、各行业操作流程较为 规范，加之其独特的地缘优势，吸引了包括中国在内的各国企业赴马来西亚投资经营。 马来西亚投资环境的竞争优势主要体现在五个方面：地理位置优越，位于东南亚核 心地带，可成为进入东盟市场和前往中东澳新的桥梁；经济基础稳固，经济增长前景较 好；原材料资源丰富；人力资源素质较高，工资成本较低；民族关系融洽</t>
        </is>
      </c>
    </row>
    <row r="126">
      <c r="A126" s="2" t="inlineStr">
        <is>
          <t>Q025</t>
        </is>
      </c>
      <c r="B126" s="2" t="n">
        <v>5</v>
      </c>
      <c r="C126" s="2" t="inlineStr">
        <is>
          <t>MOFCOM_003</t>
        </is>
      </c>
      <c r="D126" s="2" t="inlineStr">
        <is>
          <t>对外投资合作国别（地区）指南：越南（2025年版）</t>
        </is>
      </c>
      <c r="E126" s="2" t="inlineStr">
        <is>
          <t>对外投资</t>
        </is>
      </c>
      <c r="F126" s="2" t="inlineStr">
        <is>
          <t>S</t>
        </is>
      </c>
      <c r="G126" s="2" t="n">
        <v>0</v>
      </c>
      <c r="H126" s="2" t="n">
        <v>2</v>
      </c>
      <c r="I126" s="3" t="n">
        <v>1</v>
      </c>
      <c r="J126" s="3" t="n">
        <v>2</v>
      </c>
      <c r="K126" s="2" t="inlineStr">
        <is>
          <t>越南国别投资环境指南，同上：可作国别环境支撑，非宏观证据 ｜ 人工判定与Auto(0)不同，请复核</t>
        </is>
      </c>
      <c r="L126" s="2" t="inlineStr">
        <is>
          <t>商务部对外投资和经济合作司、商务部国际贸易经济合作研究院、中国驻越南大使馆经济商务处</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商务部以习近平新时代中国特色社会主义思想为指导，深入学习贯彻党的二十大和二十届历次 全会精神，按照党的二十届四中全会决策部署，有效实施对外投资管理，健全海外综合服务体系， 促进贸易投资一体化，引导产业链供应链合理有序跨境布局。 坚持统筹发展和安全，鼓励和支持有 实力、信誉好、有国际竞争力的企业开展产供链国际合作，持续提升跨国经营能力。 当前，世界百年未有之大变局加速演进，国际力量对比深刻调整，大国博弈更加复杂激烈，单 边主义、保护主义抬头，经济全球化遭遇逆流。 同时，以人工智能为代表的新一代技术革命和产业 变革深入发展，为国际经贸合作注入新动能、创造新模</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CASE_009</t>
        </is>
      </c>
      <c r="D128" s="2" t="inlineStr">
        <is>
          <t>BIS 50%穿透规则：发布→暂停→2026-11-10恢复的完整时间线</t>
        </is>
      </c>
      <c r="E128" s="2" t="inlineStr">
        <is>
          <t>出口管制</t>
        </is>
      </c>
      <c r="F128" s="2" t="inlineStr">
        <is>
          <t>S</t>
        </is>
      </c>
      <c r="G128" s="2" t="n">
        <v>2</v>
      </c>
      <c r="H128" s="2" t="n">
        <v>2</v>
      </c>
      <c r="I128" s="3" t="n">
        <v>2</v>
      </c>
      <c r="J128" s="3" t="n">
        <v>2</v>
      </c>
      <c r="K128" s="2" t="inlineStr">
        <is>
          <t>完整时间线，直接</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29">
      <c r="A129" s="2" t="inlineStr">
        <is>
          <t>Q026</t>
        </is>
      </c>
      <c r="B129" s="2" t="n">
        <v>3</v>
      </c>
      <c r="C129" s="2" t="inlineStr">
        <is>
          <t>BIS_001</t>
        </is>
      </c>
      <c r="D129" s="2" t="inlineStr">
        <is>
          <t>Expansion of End-User Controls to Cover Affiliates of Certain Listed Entities（关联企业规则 / 50%穿透规则，临时最终规则）</t>
        </is>
      </c>
      <c r="E129" s="2" t="inlineStr">
        <is>
          <t>出口管制</t>
        </is>
      </c>
      <c r="F129" s="2" t="inlineStr">
        <is>
          <t>S</t>
        </is>
      </c>
      <c r="G129" s="2" t="n">
        <v>2</v>
      </c>
      <c r="H129" s="2" t="n">
        <v>2</v>
      </c>
      <c r="I129" s="3" t="n">
        <v>2</v>
      </c>
      <c r="J129" s="3" t="n">
        <v>2</v>
      </c>
      <c r="K129" s="2" t="inlineStr">
        <is>
          <t>情景A（规则恢复）的直接依据</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30">
      <c r="A130" s="2" t="inlineStr">
        <is>
          <t>Q026</t>
        </is>
      </c>
      <c r="B130" s="2" t="n">
        <v>4</v>
      </c>
      <c r="C130" s="2" t="inlineStr">
        <is>
          <t>NIO_001</t>
        </is>
      </c>
      <c r="D130" s="2" t="inlineStr">
        <is>
          <t>NIO Inc. Form 20-F（fiscal year ended December 31, 2025）蔚来2025财年年报</t>
        </is>
      </c>
      <c r="E130" s="2" t="inlineStr">
        <is>
          <t>出口管制</t>
        </is>
      </c>
      <c r="F130" s="2" t="inlineStr">
        <is>
          <t>S</t>
        </is>
      </c>
      <c r="G130" s="2" t="n">
        <v>1</v>
      </c>
      <c r="H130" s="2" t="n">
        <v>2</v>
      </c>
      <c r="I130" s="3" t="n">
        <v>1</v>
      </c>
      <c r="J130" s="3" t="n">
        <v>2</v>
      </c>
      <c r="K130" s="2" t="inlineStr">
        <is>
          <t>蔚来 20-F 披露 BIS 对华半导体/出口管制风险与客户准入影响，可作为「依赖美国客户的制造企业」在 BIS 规则情景下的公司侧佐证；非两种情景的直接规则依据</t>
        </is>
      </c>
      <c r="L130" s="2" t="inlineStr">
        <is>
          <t>蔚来（NIO Inc.，SEC EDGAR）</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131">
      <c r="A131" s="2" t="inlineStr">
        <is>
          <t>Q026</t>
        </is>
      </c>
      <c r="B131" s="2" t="n">
        <v>5</v>
      </c>
      <c r="C131" s="2" t="inlineStr">
        <is>
          <t>FR_001</t>
        </is>
      </c>
      <c r="D131" s="2" t="inlineStr">
        <is>
          <t>Federal Register API（美国联邦公报）</t>
        </is>
      </c>
      <c r="E131" s="2" t="inlineStr">
        <is>
          <t>出口管制/关税</t>
        </is>
      </c>
      <c r="F131" s="2" t="inlineStr">
        <is>
          <t>S</t>
        </is>
      </c>
      <c r="G131" s="2" t="n">
        <v>2</v>
      </c>
      <c r="H131" s="2" t="n">
        <v>2</v>
      </c>
      <c r="I131" s="3" t="n">
        <v>2</v>
      </c>
      <c r="J131" s="3" t="n">
        <v>2</v>
      </c>
      <c r="K131" s="2" t="inlineStr">
        <is>
          <t>跟踪情景走向的官方监测入口</t>
        </is>
      </c>
      <c r="L131" s="2" t="inlineStr">
        <is>
          <t>美国国家档案馆联邦公报办公室</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132">
      <c r="A132" s="2" t="inlineStr">
        <is>
          <t>Q027</t>
        </is>
      </c>
      <c r="B132" s="2" t="n">
        <v>1</v>
      </c>
      <c r="C132" s="2" t="inlineStr">
        <is>
          <t>CASE_002</t>
        </is>
      </c>
      <c r="D132" s="2" t="inlineStr">
        <is>
          <t>美国对东南亚四国光伏产品反规避认定：视为中国原产并适用对华双反</t>
        </is>
      </c>
      <c r="E132" s="2" t="inlineStr">
        <is>
          <t>反规避</t>
        </is>
      </c>
      <c r="F132" s="2" t="inlineStr">
        <is>
          <t>S</t>
        </is>
      </c>
      <c r="G132" s="2" t="n">
        <v>2</v>
      </c>
      <c r="H132" s="2" t="n">
        <v>2</v>
      </c>
      <c r="I132" s="3" t="n">
        <v>2</v>
      </c>
      <c r="J132" s="3" t="n">
        <v>2</v>
      </c>
      <c r="K132" s="2" t="inlineStr">
        <is>
          <t>“认定规避”判例，直接</t>
        </is>
      </c>
      <c r="L132" s="2" t="inlineStr">
        <is>
          <t>美国商务部（经律所解读）</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3">
      <c r="A133" s="2" t="inlineStr">
        <is>
          <t>Q027</t>
        </is>
      </c>
      <c r="B133" s="2" t="n">
        <v>2</v>
      </c>
      <c r="C133" s="2" t="inlineStr">
        <is>
          <t>DOC_001</t>
        </is>
      </c>
      <c r="D133" s="2" t="inlineStr">
        <is>
          <t>Final Circumvention Determinations: Crystalline Silicon Photovoltaic Cells from Cambodia, Malaysia, Thailand and Vietnam（东南亚四国光伏反规避终裁）</t>
        </is>
      </c>
      <c r="E133" s="2" t="inlineStr">
        <is>
          <t>反规避</t>
        </is>
      </c>
      <c r="F133" s="2" t="inlineStr">
        <is>
          <t>S</t>
        </is>
      </c>
      <c r="G133" s="2" t="n">
        <v>2</v>
      </c>
      <c r="H133" s="2" t="n">
        <v>2</v>
      </c>
      <c r="I133" s="3" t="n">
        <v>2</v>
      </c>
      <c r="J133" s="3" t="n">
        <v>2</v>
      </c>
      <c r="K133" s="2" t="inlineStr">
        <is>
          <t>终裁原文，直接</t>
        </is>
      </c>
      <c r="L133" s="2" t="inlineStr">
        <is>
          <t>美国商务部</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Importers and consumers of solar panels should review their supply chains and make any needed adjustments prior to June 2024 to ensure importers are not sourcing from these companies. U.S. companies should also evaluate the risks posed by these determinations when assessing produ</t>
        </is>
      </c>
    </row>
    <row r="135">
      <c r="A135" s="2" t="inlineStr">
        <is>
          <t>Q027</t>
        </is>
      </c>
      <c r="B135" s="2" t="n">
        <v>4</v>
      </c>
      <c r="C135" s="2" t="inlineStr">
        <is>
          <t>WH_002</t>
        </is>
      </c>
      <c r="D135" s="2" t="inlineStr">
        <is>
          <t>The Great Transshipment Scam: Rise, Scope, and Costs（白宫非法转运报告）</t>
        </is>
      </c>
      <c r="E135" s="2" t="inlineStr">
        <is>
          <t>原产地与转运</t>
        </is>
      </c>
      <c r="F135" s="2" t="inlineStr">
        <is>
          <t>S</t>
        </is>
      </c>
      <c r="G135" s="2" t="n">
        <v>2</v>
      </c>
      <c r="H135" s="2" t="n">
        <v>2</v>
      </c>
      <c r="I135" s="3" t="n">
        <v>2</v>
      </c>
      <c r="J135" s="3" t="n">
        <v>2</v>
      </c>
      <c r="K135" s="2" t="inlineStr">
        <is>
          <t>转运执法证据，题目点名要求</t>
        </is>
      </c>
      <c r="L135" s="2" t="inlineStr">
        <is>
          <t>美国白宫贸易与制造业政策办公室</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6">
      <c r="A136" s="2" t="inlineStr">
        <is>
          <t>Q027</t>
        </is>
      </c>
      <c r="B136" s="2" t="n">
        <v>5</v>
      </c>
      <c r="C136" s="2" t="inlineStr">
        <is>
          <t>WH_001</t>
        </is>
      </c>
      <c r="D136" s="2" t="inlineStr">
        <is>
          <t>Executive Order 14411: Strengthening Customs Enforcement（加强海关执法行政令）</t>
        </is>
      </c>
      <c r="E136" s="2" t="inlineStr">
        <is>
          <t>原产地与转运</t>
        </is>
      </c>
      <c r="F136" s="2" t="inlineStr">
        <is>
          <t>S</t>
        </is>
      </c>
      <c r="G136" s="2" t="n">
        <v>1</v>
      </c>
      <c r="H136" s="2" t="n">
        <v>2</v>
      </c>
      <c r="I136" s="3" t="n">
        <v>1</v>
      </c>
      <c r="J136" s="3" t="n">
        <v>2</v>
      </c>
      <c r="K136" s="2" t="inlineStr">
        <is>
          <t>加强海关执法的行政令，指向原产地与转运执法，是情景B（东南亚部分工序）执法风险的直接政策依据；非本题 gold</t>
        </is>
      </c>
      <c r="L136" s="2" t="inlineStr">
        <is>
          <t>美国白宫</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138">
      <c r="A138" s="2" t="inlineStr">
        <is>
          <t>Q028</t>
        </is>
      </c>
      <c r="B138" s="2" t="n">
        <v>2</v>
      </c>
      <c r="C138" s="2" t="inlineStr">
        <is>
          <t>CASE_002</t>
        </is>
      </c>
      <c r="D138" s="2" t="inlineStr">
        <is>
          <t>美国对东南亚四国光伏产品反规避认定：视为中国原产并适用对华双反</t>
        </is>
      </c>
      <c r="E138" s="2" t="inlineStr">
        <is>
          <t>反规避</t>
        </is>
      </c>
      <c r="F138" s="2" t="inlineStr">
        <is>
          <t>S</t>
        </is>
      </c>
      <c r="G138" s="2" t="n">
        <v>2</v>
      </c>
      <c r="H138" s="2" t="n">
        <v>2</v>
      </c>
      <c r="I138" s="3" t="n">
        <v>2</v>
      </c>
      <c r="J138" s="3" t="n">
        <v>2</v>
      </c>
      <c r="K138" s="2" t="inlineStr">
        <is>
          <t>“认定规避”判例，直接</t>
        </is>
      </c>
      <c r="L138" s="2" t="inlineStr">
        <is>
          <t>美国商务部（经律所解读）</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9">
      <c r="A139" s="2" t="inlineStr">
        <is>
          <t>Q028</t>
        </is>
      </c>
      <c r="B139" s="2" t="n">
        <v>3</v>
      </c>
      <c r="C139" s="2" t="inlineStr">
        <is>
          <t>WH_002</t>
        </is>
      </c>
      <c r="D139" s="2" t="inlineStr">
        <is>
          <t>The Great Transshipment Scam: Rise, Scope, and Costs（白宫非法转运报告）</t>
        </is>
      </c>
      <c r="E139" s="2" t="inlineStr">
        <is>
          <t>原产地与转运</t>
        </is>
      </c>
      <c r="F139" s="2" t="inlineStr">
        <is>
          <t>S</t>
        </is>
      </c>
      <c r="G139" s="2" t="n">
        <v>2</v>
      </c>
      <c r="H139" s="2" t="n">
        <v>2</v>
      </c>
      <c r="I139" s="3" t="n">
        <v>2</v>
      </c>
      <c r="J139" s="3" t="n">
        <v>2</v>
      </c>
      <c r="K139" s="2" t="inlineStr">
        <is>
          <t>转运与原产地风险，直接</t>
        </is>
      </c>
      <c r="L139" s="2" t="inlineStr">
        <is>
          <t>美国白宫贸易与制造业政策办公室</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0">
      <c r="A140" s="2" t="inlineStr">
        <is>
          <t>Q028</t>
        </is>
      </c>
      <c r="B140" s="2" t="n">
        <v>4</v>
      </c>
      <c r="C140" s="2" t="inlineStr">
        <is>
          <t>DOC_001</t>
        </is>
      </c>
      <c r="D140" s="2" t="inlineStr">
        <is>
          <t>Final Circumvention Determinations: Crystalline Silicon Photovoltaic Cells from Cambodia, Malaysia, Thailand and Vietnam（东南亚四国光伏反规避终裁）</t>
        </is>
      </c>
      <c r="E140" s="2" t="inlineStr">
        <is>
          <t>反规避</t>
        </is>
      </c>
      <c r="F140" s="2" t="inlineStr">
        <is>
          <t>S</t>
        </is>
      </c>
      <c r="G140" s="2" t="n">
        <v>0</v>
      </c>
      <c r="H140" s="2" t="n">
        <v>2</v>
      </c>
      <c r="I140" s="3" t="n">
        <v>2</v>
      </c>
      <c r="J140" s="3" t="n">
        <v>2</v>
      </c>
      <c r="K140" s="2" t="inlineStr">
        <is>
          <t>反规避终裁，界定“实质性转变”，直接 ｜ 人工判定与Auto(0)不同，请复核 ｜ 人工判定与Auto(0)不同，请复核</t>
        </is>
      </c>
      <c r="L140" s="2" t="inlineStr">
        <is>
          <t>美国商务部</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41">
      <c r="A141" s="2" t="inlineStr">
        <is>
          <t>Q028</t>
        </is>
      </c>
      <c r="B141" s="2" t="n">
        <v>5</v>
      </c>
      <c r="C141" s="2" t="inlineStr">
        <is>
          <t>CASE_010</t>
        </is>
      </c>
      <c r="D141" s="2" t="inlineStr">
        <is>
          <t>白宫点名东南亚为非法转运高风险地区，并推出AI执法工具</t>
        </is>
      </c>
      <c r="E141" s="2" t="inlineStr">
        <is>
          <t>原产地与转运</t>
        </is>
      </c>
      <c r="F141" s="2" t="inlineStr">
        <is>
          <t>S</t>
        </is>
      </c>
      <c r="G141" s="2" t="n">
        <v>2</v>
      </c>
      <c r="H141" s="2" t="n">
        <v>2</v>
      </c>
      <c r="I141" s="3" t="n">
        <v>2</v>
      </c>
      <c r="J141" s="3" t="n">
        <v>2</v>
      </c>
      <c r="K141" s="2" t="inlineStr">
        <is>
          <t>本题 expected 证据：白宫点名东南亚为转运高风险并推出 AI 执法工具</t>
        </is>
      </c>
      <c r="L141" s="2" t="inlineStr">
        <is>
          <t>美国白宫（经律所解读）</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42">
      <c r="A142" s="2" t="inlineStr">
        <is>
          <t>Q029</t>
        </is>
      </c>
      <c r="B142" s="2" t="n">
        <v>1</v>
      </c>
      <c r="C142" s="2" t="inlineStr">
        <is>
          <t>WTO_001</t>
        </is>
      </c>
      <c r="D142" s="2" t="inlineStr">
        <is>
          <t>Global Trade Outlook and Statistics（2026年3月版）</t>
        </is>
      </c>
      <c r="E142" s="2" t="inlineStr">
        <is>
          <t>贸易流</t>
        </is>
      </c>
      <c r="F142" s="2" t="inlineStr">
        <is>
          <t>A+</t>
        </is>
      </c>
      <c r="G142" s="2" t="n">
        <v>0</v>
      </c>
      <c r="H142" s="2" t="n">
        <v>2</v>
      </c>
      <c r="I142" s="3" t="n">
        <v>1</v>
      </c>
      <c r="J142" s="3" t="n">
        <v>2</v>
      </c>
      <c r="K142" s="2" t="inlineStr">
        <is>
          <t>全球贸易展望，非投资政策/调查证据 ｜ 人工判定与Auto(0)不同，请复核 ｜ 人工判定与Auto(0)不同，请复核</t>
        </is>
      </c>
      <c r="L142" s="2" t="inlineStr">
        <is>
          <t>世界贸易组织（WTO）</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3">
      <c r="A143" s="2" t="inlineStr">
        <is>
          <t>Q029</t>
        </is>
      </c>
      <c r="B143" s="2" t="n">
        <v>2</v>
      </c>
      <c r="C143" s="2" t="inlineStr">
        <is>
          <t>WTO_002</t>
        </is>
      </c>
      <c r="D143" s="2" t="inlineStr">
        <is>
          <t>Trade Policy Review: Report by the Secretariat — India（WT/TPR/S/403）印度第七次贸易政策审议秘书处报告</t>
        </is>
      </c>
      <c r="E143" s="2" t="inlineStr">
        <is>
          <t>贸易流</t>
        </is>
      </c>
      <c r="F143" s="2" t="inlineStr">
        <is>
          <t>A+</t>
        </is>
      </c>
      <c r="G143" s="2" t="n">
        <v>0</v>
      </c>
      <c r="H143" s="2" t="n">
        <v>2</v>
      </c>
      <c r="I143" s="3" t="n">
        <v>1</v>
      </c>
      <c r="J143" s="3" t="n">
        <v>2</v>
      </c>
      <c r="K143" s="2" t="inlineStr">
        <is>
          <t>WTO 对印 TPR 属东道国贸易政策环境证据，可用作建厂决策背景，但非全球投资趋势或企业供应链调查 ｜ 人工判定与Auto(0)不同，请复核</t>
        </is>
      </c>
      <c r="L143" s="2" t="inlineStr">
        <is>
          <t>世界贸易组织（WTO）</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44">
      <c r="A144" s="2" t="inlineStr">
        <is>
          <t>Q029</t>
        </is>
      </c>
      <c r="B144" s="2" t="n">
        <v>3</v>
      </c>
      <c r="C144" s="2" t="inlineStr">
        <is>
          <t>IMF_001</t>
        </is>
      </c>
      <c r="D144" s="2" t="inlineStr">
        <is>
          <t>World Economic Outlook, April 2023, Chapter 4: Geoeconomic Fragmentation and Foreign Direct Investment</t>
        </is>
      </c>
      <c r="E144" s="2" t="inlineStr">
        <is>
          <t>对外投资</t>
        </is>
      </c>
      <c r="F144" s="2" t="inlineStr">
        <is>
          <t>A+</t>
        </is>
      </c>
      <c r="G144" s="2" t="n">
        <v>2</v>
      </c>
      <c r="H144" s="2" t="n">
        <v>2</v>
      </c>
      <c r="I144" s="3" t="n">
        <v>2</v>
      </c>
      <c r="J144" s="3" t="n">
        <v>2</v>
      </c>
      <c r="K144" s="2" t="inlineStr">
        <is>
          <t>投资与碎片化框架，直接</t>
        </is>
      </c>
      <c r="L144" s="2" t="inlineStr">
        <is>
          <t>国际货币基金组织（IMF）</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5">
      <c r="A145" s="2" t="inlineStr">
        <is>
          <t>Q029</t>
        </is>
      </c>
      <c r="B145" s="2" t="n">
        <v>4</v>
      </c>
      <c r="C145" s="2" t="inlineStr">
        <is>
          <t>CNGOV_001</t>
        </is>
      </c>
      <c r="D145" s="2" t="inlineStr">
        <is>
          <t>国务院关于对外投资的规定（国务院令第837号）</t>
        </is>
      </c>
      <c r="E145" s="2" t="inlineStr">
        <is>
          <t>对外投资</t>
        </is>
      </c>
      <c r="F145" s="2" t="inlineStr">
        <is>
          <t>S</t>
        </is>
      </c>
      <c r="G145" s="2" t="n">
        <v>2</v>
      </c>
      <c r="H145" s="2" t="n">
        <v>2</v>
      </c>
      <c r="I145" s="3" t="n">
        <v>2</v>
      </c>
      <c r="J145" s="3" t="n">
        <v>2</v>
      </c>
      <c r="K145" s="2" t="inlineStr">
        <is>
          <t>中国对外投资规则，直接</t>
        </is>
      </c>
      <c r="L145" s="2" t="inlineStr">
        <is>
          <t>中华人民共和国国务院</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6">
      <c r="A146" s="2" t="inlineStr">
        <is>
          <t>Q029</t>
        </is>
      </c>
      <c r="B146" s="2" t="n">
        <v>5</v>
      </c>
      <c r="C146" s="2" t="inlineStr">
        <is>
          <t>UNCTAD_001</t>
        </is>
      </c>
      <c r="D146" s="2" t="inlineStr">
        <is>
          <t>World Investment Report 2026: International Investment in a Turbulent Era</t>
        </is>
      </c>
      <c r="E146" s="2" t="inlineStr">
        <is>
          <t>对外投资</t>
        </is>
      </c>
      <c r="F146" s="2" t="inlineStr">
        <is>
          <t>A+</t>
        </is>
      </c>
      <c r="G146" s="2" t="n">
        <v>2</v>
      </c>
      <c r="H146" s="2" t="n">
        <v>2</v>
      </c>
      <c r="I146" s="3" t="n">
        <v>2</v>
      </c>
      <c r="J146" s="3" t="n">
        <v>2</v>
      </c>
      <c r="K146" s="2" t="inlineStr">
        <is>
          <t>全球投资趋势，直接</t>
        </is>
      </c>
      <c r="L146" s="2" t="inlineStr">
        <is>
          <t>联合国贸易和发展会议（UNCTAD）</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WH_001</t>
        </is>
      </c>
      <c r="D149" s="2" t="inlineStr">
        <is>
          <t>Executive Order 14411: Strengthening Customs Enforcement（加强海关执法行政令）</t>
        </is>
      </c>
      <c r="E149" s="2" t="inlineStr">
        <is>
          <t>原产地与转运</t>
        </is>
      </c>
      <c r="F149" s="2" t="inlineStr">
        <is>
          <t>S</t>
        </is>
      </c>
      <c r="G149" s="2" t="n">
        <v>1</v>
      </c>
      <c r="H149" s="2" t="n">
        <v>2</v>
      </c>
      <c r="I149" s="3" t="n">
        <v>2</v>
      </c>
      <c r="J149" s="3" t="n">
        <v>2</v>
      </c>
      <c r="K149" s="2" t="inlineStr">
        <is>
          <t>海关执法，对应准入风险 ｜ 人工判定与Auto(1)不同，请复核 ｜ 人工判定与Auto(1)不同，请复核</t>
        </is>
      </c>
      <c r="L149" s="2" t="inlineStr">
        <is>
          <t>美国白宫</t>
        </is>
      </c>
      <c r="M149" s="2" t="inlineStr">
        <is>
          <t>Scenario Simulation Support</t>
        </is>
      </c>
      <c r="N149" s="2" t="inlineStr">
        <is>
          <t>supply_chain</t>
        </is>
      </c>
      <c r="O149" s="2" t="inlineStr">
        <is>
          <t>CASE_004; CASE_005; CASE_006; CASE_007; WH_002; CASE_010; TRD_001</t>
        </is>
      </c>
      <c r="P149" s="2" t="inlineStr">
        <is>
          <t>情景A：把泰国作为单一海外生产中心；情景B：在泰国和马来西亚分散布局。基于现有企业案例、美国转运执法和贸易数据，应该如何比较两种方案的集中度与市场准入风险？</t>
        </is>
      </c>
      <c r="Q14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50">
      <c r="A150" s="2" t="inlineStr">
        <is>
          <t>Q030</t>
        </is>
      </c>
      <c r="B150" s="2" t="n">
        <v>4</v>
      </c>
      <c r="C150" s="2" t="inlineStr">
        <is>
          <t>CSIS_001</t>
        </is>
      </c>
      <c r="D150" s="2" t="inlineStr">
        <is>
          <t>The Visibility Gap: How AI Can Stop Chinese Transshipment Under USMCA</t>
        </is>
      </c>
      <c r="E150" s="2" t="inlineStr">
        <is>
          <t>原产地与转运</t>
        </is>
      </c>
      <c r="F150" s="2" t="inlineStr">
        <is>
          <t>A</t>
        </is>
      </c>
      <c r="G150" s="2" t="n">
        <v>1</v>
      </c>
      <c r="H150" s="2" t="n">
        <v>2</v>
      </c>
      <c r="I150" s="3" t="n">
        <v>1</v>
      </c>
      <c r="J150" s="3" t="n">
        <v>2</v>
      </c>
      <c r="K150" s="2" t="inlineStr">
        <is>
          <t>美国侧中国转运可视化的执法分析，对应本题「美国转运执法」这一比较维度；但该文以美墨加（USMCA）为落点，非东南亚单一/分散布局的直接案例</t>
        </is>
      </c>
      <c r="L150" s="2" t="inlineStr">
        <is>
          <t>战略与国际研究中心（CSIS）</t>
        </is>
      </c>
      <c r="M150" s="2" t="inlineStr">
        <is>
          <t>Scenario Simulation Support</t>
        </is>
      </c>
      <c r="N150" s="2" t="inlineStr">
        <is>
          <t>supply_chain</t>
        </is>
      </c>
      <c r="O150" s="2" t="inlineStr">
        <is>
          <t>CASE_004; CASE_005; CASE_006; CASE_007; WH_002; CASE_010; TRD_001</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51">
      <c r="A151" s="2" t="inlineStr">
        <is>
          <t>Q030</t>
        </is>
      </c>
      <c r="B151" s="2" t="n">
        <v>5</v>
      </c>
      <c r="C151" s="2" t="inlineStr">
        <is>
          <t>CASE_007</t>
        </is>
      </c>
      <c r="D151" s="2" t="inlineStr">
        <is>
          <t>华工正源：马来西亚工厂，公开表述为规避地缘风险</t>
        </is>
      </c>
      <c r="E151" s="2" t="inlineStr">
        <is>
          <t>供应链布局</t>
        </is>
      </c>
      <c r="F151" s="2" t="inlineStr">
        <is>
          <t>B+</t>
        </is>
      </c>
      <c r="G151" s="2" t="n">
        <v>2</v>
      </c>
      <c r="H151" s="2" t="n">
        <v>1</v>
      </c>
      <c r="I151" s="3" t="n">
        <v>2</v>
      </c>
      <c r="J151" s="3" t="n">
        <v>1</v>
      </c>
      <c r="K151" s="2" t="inlineStr">
        <is>
          <t>马来西亚工厂案例，直接支撑泰马分散布局情景</t>
        </is>
      </c>
      <c r="L151" s="2" t="inlineStr">
        <is>
          <t>C114通信网</t>
        </is>
      </c>
      <c r="M151" s="2" t="inlineStr">
        <is>
          <t>Scenario Simulation Support</t>
        </is>
      </c>
      <c r="N151" s="2" t="inlineStr">
        <is>
          <t>supply_chain</t>
        </is>
      </c>
      <c r="O151" s="2" t="inlineStr">
        <is>
          <t>CASE_004; CASE_005; CASE_006; CASE_007; WH_002; CASE_010; TRD_001</t>
        </is>
      </c>
      <c r="P151" s="2" t="inlineStr">
        <is>
          <t>情景A：把泰国作为单一海外生产中心；情景B：在泰国和马来西亚分散布局。基于现有企业案例、美国转运执法和贸易数据，应该如何比较两种方案的集中度与市场准入风险？</t>
        </is>
      </c>
      <c r="Q151" s="2" t="inlineStr">
        <is>
          <t>天孚通信：光引擎垄断者 天孚通信是全球光引擎市场龙头，占据60%以上份额，产品价值占CPO模块的30%-40%。 2025年预计归母净利润18. 81亿-21. 50亿元，净利率高达37. 40%，盈利质量行业领先。 公司1. 6T光引擎实现规模化量产，布局CPO无源器件，深度绑定中际旭创、新易盛等头部厂商。 作为“卖铲人”定位，天孚通信在技术迭代中具备更强的抗风险能力。 三、第三梯队 7. 剑桥科技 剑桥科技2025年预计归母净利润2. 52亿-2. 78亿元，同比增长51%-67%。 800G LPO光模块通过客户验证，1. 6T产品进入Meta供应</t>
        </is>
      </c>
    </row>
    <row r="152">
      <c r="A152" s="2" t="inlineStr">
        <is>
          <t>Q031</t>
        </is>
      </c>
      <c r="B152" s="2" t="n">
        <v>1</v>
      </c>
      <c r="C152" s="2" t="inlineStr">
        <is>
          <t>TSLA_001</t>
        </is>
      </c>
      <c r="D152" s="2" t="inlineStr">
        <is>
          <t>Tesla, Inc. Form 10-K（fiscal year ended December 31, 2025）特斯拉2025财年年报</t>
        </is>
      </c>
      <c r="E152" s="2" t="inlineStr">
        <is>
          <t>供应链布局</t>
        </is>
      </c>
      <c r="F152" s="2" t="inlineStr">
        <is>
          <t>S</t>
        </is>
      </c>
      <c r="G152" s="2" t="n">
        <v>2</v>
      </c>
      <c r="H152" s="2" t="n">
        <v>2</v>
      </c>
      <c r="I152" s="3" t="n">
        <v>2</v>
      </c>
      <c r="J152" s="3" t="n">
        <v>2</v>
      </c>
      <c r="K152" s="2" t="inlineStr">
        <is>
          <t>本题 expected 证据：特斯拉 10-K 原文披露上海/柏林/美国制造布局与关税影响</t>
        </is>
      </c>
      <c r="L152" s="2" t="inlineStr">
        <is>
          <t>特斯拉公司（Tesla, Inc.，SEC EDGAR）</t>
        </is>
      </c>
      <c r="M152" s="2" t="inlineStr">
        <is>
          <t>Company Intelligence</t>
        </is>
      </c>
      <c r="N152" s="2" t="inlineStr">
        <is>
          <t>supply_chain</t>
        </is>
      </c>
      <c r="O152" s="2" t="inlineStr">
        <is>
          <t>TSLA_001</t>
        </is>
      </c>
      <c r="P152" s="2" t="inlineStr">
        <is>
          <t>我们在评估把电池与整车产能分散到中国以外，是否真能降低关税与物流成本。特斯拉最新年报对其全球制造布局与关税影响的原始披露说明了什么？</t>
        </is>
      </c>
      <c r="Q152"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153">
      <c r="A153" s="2" t="inlineStr">
        <is>
          <t>Q031</t>
        </is>
      </c>
      <c r="B153" s="2" t="n">
        <v>2</v>
      </c>
      <c r="C153" s="2" t="inlineStr">
        <is>
          <t>EU_003</t>
        </is>
      </c>
      <c r="D153" s="2" t="inlineStr">
        <is>
          <t>Commission Implementing Regulation (EU) 2024/2754 imposing a definitive countervailing duty on imports of new battery electric vehicles originating in China（对华纯电动车最终反补贴税）</t>
        </is>
      </c>
      <c r="E153" s="2" t="inlineStr">
        <is>
          <t>关税</t>
        </is>
      </c>
      <c r="F153" s="2" t="inlineStr">
        <is>
          <t>S</t>
        </is>
      </c>
      <c r="G153" s="2" t="n">
        <v>0</v>
      </c>
      <c r="H153" s="2" t="n">
        <v>2</v>
      </c>
      <c r="I153" s="3" t="n">
        <v>1</v>
      </c>
      <c r="J153" s="3" t="n">
        <v>2</v>
      </c>
      <c r="K153" s="2" t="inlineStr">
        <is>
          <t>欧盟对华 EV 反补贴税，属整车厂关税暴露的同类政策背景，但不回答特斯拉自身披露 ｜ 人工判定与Auto(0)不同，请复核</t>
        </is>
      </c>
      <c r="L153" s="2" t="inlineStr">
        <is>
          <t>欧盟委员会（EUR-Lex / Official Journal）</t>
        </is>
      </c>
      <c r="M153" s="2" t="inlineStr">
        <is>
          <t>Company Intelligence</t>
        </is>
      </c>
      <c r="N153" s="2" t="inlineStr">
        <is>
          <t>supply_chain</t>
        </is>
      </c>
      <c r="O153" s="2" t="inlineStr">
        <is>
          <t>TSLA_001</t>
        </is>
      </c>
      <c r="P153" s="2" t="inlineStr">
        <is>
          <t>我们在评估把电池与整车产能分散到中国以外，是否真能降低关税与物流成本。特斯拉最新年报对其全球制造布局与关税影响的原始披露说明了什么？</t>
        </is>
      </c>
      <c r="Q153"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54">
      <c r="A154" s="2" t="inlineStr">
        <is>
          <t>Q031</t>
        </is>
      </c>
      <c r="B154" s="2" t="n">
        <v>3</v>
      </c>
      <c r="C154" s="2" t="inlineStr">
        <is>
          <t>UST_001</t>
        </is>
      </c>
      <c r="D154" s="2" t="inlineStr">
        <is>
          <t>Notice of Modification: China's Acts, Policies and Practices Related to Technology Transfer, Intellectual Property and Innovation（Section 301 对华关税调整通知）</t>
        </is>
      </c>
      <c r="E154" s="2" t="inlineStr">
        <is>
          <t>关税</t>
        </is>
      </c>
      <c r="F154" s="2" t="inlineStr">
        <is>
          <t>S</t>
        </is>
      </c>
      <c r="G154" s="2" t="n">
        <v>0</v>
      </c>
      <c r="H154" s="2" t="n">
        <v>2</v>
      </c>
      <c r="I154" s="3" t="n">
        <v>1</v>
      </c>
      <c r="J154" s="3" t="n">
        <v>2</v>
      </c>
      <c r="K154" s="2" t="inlineStr">
        <is>
          <t>美国 Section 301 对华关税清单（含 EV 与锂电池），是特斯拉披露‘关税推高供应链成本’的政策依据 ｜ 人工判定与Auto(0)不同，请复核</t>
        </is>
      </c>
      <c r="L154" s="2" t="inlineStr">
        <is>
          <t>美国贸易代表办公室（USTR，Federal Register）</t>
        </is>
      </c>
      <c r="M154" s="2" t="inlineStr">
        <is>
          <t>Company Intelligence</t>
        </is>
      </c>
      <c r="N154" s="2" t="inlineStr">
        <is>
          <t>supply_chain</t>
        </is>
      </c>
      <c r="O154" s="2" t="inlineStr">
        <is>
          <t>TSLA_001</t>
        </is>
      </c>
      <c r="P154" s="2" t="inlineStr">
        <is>
          <t>我们在评估把电池与整车产能分散到中国以外，是否真能降低关税与物流成本。特斯拉最新年报对其全球制造布局与关税影响的原始披露说明了什么？</t>
        </is>
      </c>
      <c r="Q154" s="2" t="inlineStr">
        <is>
          <t>Evidence ID: UST_001 Title: Notice of Modification: China's Acts, Policies and Practices Related to Technology Transfer, Intellectual Property and Innovation（Section 301 对华关税调整通知） Publisher: 美国贸易代表办公室（USTR，Federal Register） Country/Jurisdiction: US / Federal Publication date: 202</t>
        </is>
      </c>
    </row>
    <row r="155">
      <c r="A155" s="2" t="inlineStr">
        <is>
          <t>Q031</t>
        </is>
      </c>
      <c r="B155" s="2" t="n">
        <v>4</v>
      </c>
      <c r="C155" s="2" t="inlineStr">
        <is>
          <t>DHS_001</t>
        </is>
      </c>
      <c r="D155" s="2" t="inlineStr">
        <is>
          <t>Notice Regarding the Uyghur Forced Labor Prevention Act Entity List（UFLPA 实体清单更新公告）</t>
        </is>
      </c>
      <c r="E155" s="2" t="inlineStr">
        <is>
          <t>劳工</t>
        </is>
      </c>
      <c r="F155" s="2" t="inlineStr">
        <is>
          <t>S</t>
        </is>
      </c>
      <c r="G155" s="2" t="n">
        <v>0</v>
      </c>
      <c r="H155" s="2" t="n">
        <v>2</v>
      </c>
      <c r="I155" s="3" t="n">
        <v>0</v>
      </c>
      <c r="J155" s="3" t="n">
        <v>2</v>
      </c>
      <c r="K155" s="2" t="inlineStr">
        <is>
          <t>强迫劳动清单与特斯拉制造布局/关税披露无关</t>
        </is>
      </c>
      <c r="L155" s="2" t="inlineStr">
        <is>
          <t>美国国土安全部（DHS，Federal Register）</t>
        </is>
      </c>
      <c r="M155" s="2" t="inlineStr">
        <is>
          <t>Company Intelligence</t>
        </is>
      </c>
      <c r="N155" s="2" t="inlineStr">
        <is>
          <t>supply_chain</t>
        </is>
      </c>
      <c r="O155" s="2" t="inlineStr">
        <is>
          <t>TSLA_001</t>
        </is>
      </c>
      <c r="P155" s="2" t="inlineStr">
        <is>
          <t>我们在评估把电池与整车产能分散到中国以外，是否真能降低关税与物流成本。特斯拉最新年报对其全球制造布局与关税影响的原始披露说明了什么？</t>
        </is>
      </c>
      <c r="Q15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56">
      <c r="A156" s="2" t="inlineStr">
        <is>
          <t>Q031</t>
        </is>
      </c>
      <c r="B156" s="2" t="n">
        <v>5</v>
      </c>
      <c r="C156" s="2" t="inlineStr">
        <is>
          <t>SNE_001</t>
        </is>
      </c>
      <c r="D156" s="2" t="inlineStr">
        <is>
          <t>January-August 2026 Global EV Battery Usage Reaches 844.2 GWh, Up 19.7% Year-on-Year（2026年1–8月全球动力电池装车量快报）</t>
        </is>
      </c>
      <c r="E156" s="2" t="inlineStr">
        <is>
          <t>供应链布局</t>
        </is>
      </c>
      <c r="F156" s="2" t="inlineStr">
        <is>
          <t>B</t>
        </is>
      </c>
      <c r="G156" s="2" t="n">
        <v>1</v>
      </c>
      <c r="H156" s="2" t="n">
        <v>1</v>
      </c>
      <c r="I156" s="3" t="n">
        <v>0</v>
      </c>
      <c r="J156" s="3" t="n">
        <v>1</v>
      </c>
      <c r="K156" s="2" t="inlineStr">
        <is>
          <t>电池装车量市场数据，不能回答企业制造布局披露 ｜ 人工判定与Auto(1)不同，请复核</t>
        </is>
      </c>
      <c r="L156" s="2" t="inlineStr">
        <is>
          <t>SNE Research</t>
        </is>
      </c>
      <c r="M156" s="2" t="inlineStr">
        <is>
          <t>Company Intelligence</t>
        </is>
      </c>
      <c r="N156" s="2" t="inlineStr">
        <is>
          <t>supply_chain</t>
        </is>
      </c>
      <c r="O156" s="2" t="inlineStr">
        <is>
          <t>TSLA_001</t>
        </is>
      </c>
      <c r="P156" s="2" t="inlineStr">
        <is>
          <t>我们在评估把电池与整车产能分散到中国以外，是否真能降低关税与物流成本。特斯拉最新年报对其全球制造布局与关税影响的原始披露说明了什么？</t>
        </is>
      </c>
      <c r="Q15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57">
      <c r="A157" s="2" t="inlineStr">
        <is>
          <t>Q032</t>
        </is>
      </c>
      <c r="B157" s="2" t="n">
        <v>1</v>
      </c>
      <c r="C157" s="2" t="inlineStr">
        <is>
          <t>NIO_001</t>
        </is>
      </c>
      <c r="D157" s="2" t="inlineStr">
        <is>
          <t>NIO Inc. Form 20-F（fiscal year ended December 31, 2025）蔚来2025财年年报</t>
        </is>
      </c>
      <c r="E157" s="2" t="inlineStr">
        <is>
          <t>出口管制</t>
        </is>
      </c>
      <c r="F157" s="2" t="inlineStr">
        <is>
          <t>S</t>
        </is>
      </c>
      <c r="G157" s="2" t="n">
        <v>2</v>
      </c>
      <c r="H157" s="2" t="n">
        <v>2</v>
      </c>
      <c r="I157" s="3" t="n">
        <v>2</v>
      </c>
      <c r="J157" s="3" t="n">
        <v>2</v>
      </c>
      <c r="K157" s="2" t="inlineStr">
        <is>
          <t>本题 expected 证据：蔚来 20-F 披露三座中国制造基地与 BIS 对华半导体管制风险</t>
        </is>
      </c>
      <c r="L157" s="2" t="inlineStr">
        <is>
          <t>蔚来（NIO Inc.，SEC EDGAR）</t>
        </is>
      </c>
      <c r="M157" s="2" t="inlineStr">
        <is>
          <t>Company Intelligence</t>
        </is>
      </c>
      <c r="N157" s="2" t="inlineStr">
        <is>
          <t>export_control</t>
        </is>
      </c>
      <c r="O157" s="2" t="inlineStr">
        <is>
          <t>NIO_001; XPEV_001; LI_001</t>
        </is>
      </c>
      <c r="P157" s="2" t="inlineStr">
        <is>
          <t>如果管理层要评估美国对华出口管制与关税升级对整车企业采购端的直接影响，蔚来、小鹏、理想三家在美股年报中分别披露了哪些制造基地，以及哪些与出口管制/关税相关的供应链风险？</t>
        </is>
      </c>
      <c r="Q157"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158">
      <c r="A158" s="2" t="inlineStr">
        <is>
          <t>Q032</t>
        </is>
      </c>
      <c r="B158" s="2" t="n">
        <v>2</v>
      </c>
      <c r="C158" s="2" t="inlineStr">
        <is>
          <t>XPEV_001</t>
        </is>
      </c>
      <c r="D158" s="2" t="inlineStr">
        <is>
          <t>XPeng Inc. Form 20-F（fiscal year ended December 31, 2025）小鹏汽车2025财年年报</t>
        </is>
      </c>
      <c r="E158" s="2" t="inlineStr">
        <is>
          <t>出口管制</t>
        </is>
      </c>
      <c r="F158" s="2" t="inlineStr">
        <is>
          <t>S</t>
        </is>
      </c>
      <c r="G158" s="2" t="n">
        <v>2</v>
      </c>
      <c r="H158" s="2" t="n">
        <v>2</v>
      </c>
      <c r="I158" s="3" t="n">
        <v>2</v>
      </c>
      <c r="J158" s="3" t="n">
        <v>2</v>
      </c>
      <c r="K158" s="2" t="inlineStr">
        <is>
          <t>本题 expected 证据：小鹏 20-F 披露肇庆/广州/武汉基地与出口管制采购风险</t>
        </is>
      </c>
      <c r="L158" s="2" t="inlineStr">
        <is>
          <t>小鹏汽车（XPeng Inc.，SEC EDGAR）</t>
        </is>
      </c>
      <c r="M158" s="2" t="inlineStr">
        <is>
          <t>Company Intelligence</t>
        </is>
      </c>
      <c r="N158" s="2" t="inlineStr">
        <is>
          <t>export_control</t>
        </is>
      </c>
      <c r="O158" s="2" t="inlineStr">
        <is>
          <t>NIO_001; XPEV_001; LI_001</t>
        </is>
      </c>
      <c r="P158" s="2" t="inlineStr">
        <is>
          <t>如果管理层要评估美国对华出口管制与关税升级对整车企业采购端的直接影响，蔚来、小鹏、理想三家在美股年报中分别披露了哪些制造基地，以及哪些与出口管制/关税相关的供应链风险？</t>
        </is>
      </c>
      <c r="Q158" s="2" t="inlineStr">
        <is>
          <t>Evidence ID: XPEV_001 Title: XPeng Inc. Form 20-F（fiscal year ended December 31, 2025）小鹏汽车2025财年年报 Publisher: 小鹏汽车（XPeng Inc.，SEC EDGAR） Country/Jurisdiction: CN / National Publication date: 2026-04-16 Status: CURRENT Topic: 出口管制 Applicability scope: GENERAL Related industries: 整</t>
        </is>
      </c>
    </row>
    <row r="159">
      <c r="A159" s="2" t="inlineStr">
        <is>
          <t>Q032</t>
        </is>
      </c>
      <c r="B159" s="2" t="n">
        <v>3</v>
      </c>
      <c r="C159" s="2" t="inlineStr">
        <is>
          <t>MOFCOM_002</t>
        </is>
      </c>
      <c r="D159" s="2" t="inlineStr">
        <is>
          <t>商务部公告2025年第72号（暂停实施2024年第46号公告第二款，涉及对美两用物项出口管制）</t>
        </is>
      </c>
      <c r="E159" s="2" t="inlineStr">
        <is>
          <t>出口管制</t>
        </is>
      </c>
      <c r="F159" s="2" t="inlineStr">
        <is>
          <t>S</t>
        </is>
      </c>
      <c r="G159" s="2" t="n">
        <v>1</v>
      </c>
      <c r="H159" s="2" t="n">
        <v>2</v>
      </c>
      <c r="I159" s="3" t="n">
        <v>1</v>
      </c>
      <c r="J159" s="3" t="n">
        <v>2</v>
      </c>
      <c r="K159" s="2" t="inlineStr">
        <is>
          <t>中国对美两用物项出口管制反制措施，可作中美出口管制互动的政策背景</t>
        </is>
      </c>
      <c r="L159" s="2" t="inlineStr">
        <is>
          <t>商务部</t>
        </is>
      </c>
      <c r="M159" s="2" t="inlineStr">
        <is>
          <t>Company Intelligence</t>
        </is>
      </c>
      <c r="N159" s="2" t="inlineStr">
        <is>
          <t>export_control</t>
        </is>
      </c>
      <c r="O159" s="2" t="inlineStr">
        <is>
          <t>NIO_001; XPEV_001; LI_001</t>
        </is>
      </c>
      <c r="P159" s="2" t="inlineStr">
        <is>
          <t>如果管理层要评估美国对华出口管制与关税升级对整车企业采购端的直接影响，蔚来、小鹏、理想三家在美股年报中分别披露了哪些制造基地，以及哪些与出口管制/关税相关的供应链风险？</t>
        </is>
      </c>
      <c r="Q159"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160">
      <c r="A160" s="2" t="inlineStr">
        <is>
          <t>Q032</t>
        </is>
      </c>
      <c r="B160" s="2" t="n">
        <v>4</v>
      </c>
      <c r="C160" s="2" t="inlineStr">
        <is>
          <t>FR_001</t>
        </is>
      </c>
      <c r="D160" s="2" t="inlineStr">
        <is>
          <t>Federal Register API（美国联邦公报）</t>
        </is>
      </c>
      <c r="E160" s="2" t="inlineStr">
        <is>
          <t>出口管制/关税</t>
        </is>
      </c>
      <c r="F160" s="2" t="inlineStr">
        <is>
          <t>S</t>
        </is>
      </c>
      <c r="G160" s="2" t="n">
        <v>1</v>
      </c>
      <c r="H160" s="2" t="n">
        <v>2</v>
      </c>
      <c r="I160" s="3" t="n">
        <v>1</v>
      </c>
      <c r="J160" s="3" t="n">
        <v>2</v>
      </c>
      <c r="K160" s="2" t="inlineStr">
        <is>
          <t>美国联邦公报监测入口，可追踪出口管制/关税规则变化，属合规背景工具而非企业披露</t>
        </is>
      </c>
      <c r="L160" s="2" t="inlineStr">
        <is>
          <t>美国国家档案馆联邦公报办公室</t>
        </is>
      </c>
      <c r="M160" s="2" t="inlineStr">
        <is>
          <t>Company Intelligence</t>
        </is>
      </c>
      <c r="N160" s="2" t="inlineStr">
        <is>
          <t>export_control</t>
        </is>
      </c>
      <c r="O160" s="2" t="inlineStr">
        <is>
          <t>NIO_001; XPEV_001; LI_001</t>
        </is>
      </c>
      <c r="P160" s="2" t="inlineStr">
        <is>
          <t>如果管理层要评估美国对华出口管制与关税升级对整车企业采购端的直接影响，蔚来、小鹏、理想三家在美股年报中分别披露了哪些制造基地，以及哪些与出口管制/关税相关的供应链风险？</t>
        </is>
      </c>
      <c r="Q160"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161">
      <c r="A161" s="2" t="inlineStr">
        <is>
          <t>Q032</t>
        </is>
      </c>
      <c r="B161" s="2" t="n">
        <v>5</v>
      </c>
      <c r="C161" s="2" t="inlineStr">
        <is>
          <t>ITA_001</t>
        </is>
      </c>
      <c r="D161" s="2" t="inlineStr">
        <is>
          <t>Consolidated Screening List API（美国合并筛查清单）</t>
        </is>
      </c>
      <c r="E161" s="2" t="inlineStr">
        <is>
          <t>出口管制</t>
        </is>
      </c>
      <c r="F161" s="2" t="inlineStr">
        <is>
          <t>S</t>
        </is>
      </c>
      <c r="G161" s="2" t="n">
        <v>1</v>
      </c>
      <c r="H161" s="2" t="n">
        <v>2</v>
      </c>
      <c r="I161" s="3" t="n">
        <v>1</v>
      </c>
      <c r="J161" s="3" t="n">
        <v>2</v>
      </c>
      <c r="K161" s="2" t="inlineStr">
        <is>
          <t>美国受限方筛查清单入口，可支持出口管制合规流程判断，但非企业披露</t>
        </is>
      </c>
      <c r="L161" s="2" t="inlineStr">
        <is>
          <t>美国国际贸易管理局（ITA）</t>
        </is>
      </c>
      <c r="M161" s="2" t="inlineStr">
        <is>
          <t>Company Intelligence</t>
        </is>
      </c>
      <c r="N161" s="2" t="inlineStr">
        <is>
          <t>export_control</t>
        </is>
      </c>
      <c r="O161" s="2" t="inlineStr">
        <is>
          <t>NIO_001; XPEV_001; LI_001</t>
        </is>
      </c>
      <c r="P161" s="2" t="inlineStr">
        <is>
          <t>如果管理层要评估美国对华出口管制与关税升级对整车企业采购端的直接影响，蔚来、小鹏、理想三家在美股年报中分别披露了哪些制造基地，以及哪些与出口管制/关税相关的供应链风险？</t>
        </is>
      </c>
      <c r="Q161"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162">
      <c r="A162" s="2" t="inlineStr">
        <is>
          <t>Q033</t>
        </is>
      </c>
      <c r="B162" s="2" t="n">
        <v>1</v>
      </c>
      <c r="C162" s="2" t="inlineStr">
        <is>
          <t>ALB_001</t>
        </is>
      </c>
      <c r="D162" s="2" t="inlineStr">
        <is>
          <t>Albemarle Corporation Form 10-K（fiscal year ended December 31, 2025）雅保2025财年年报</t>
        </is>
      </c>
      <c r="E162" s="2" t="inlineStr">
        <is>
          <t>供应链布局</t>
        </is>
      </c>
      <c r="F162" s="2" t="inlineStr">
        <is>
          <t>S</t>
        </is>
      </c>
      <c r="G162" s="2" t="n">
        <v>2</v>
      </c>
      <c r="H162" s="2" t="n">
        <v>2</v>
      </c>
      <c r="I162" s="3" t="n">
        <v>2</v>
      </c>
      <c r="J162" s="3" t="n">
        <v>2</v>
      </c>
      <c r="K162" s="2" t="inlineStr">
        <is>
          <t>本题 expected 证据：雅保 10-K 披露智利/澳大利亚资源与中澳加工布局及贸易政策风险</t>
        </is>
      </c>
      <c r="L162" s="2" t="inlineStr">
        <is>
          <t>雅保公司（Albemarle Corporation，SEC EDGAR）</t>
        </is>
      </c>
      <c r="M162" s="2" t="inlineStr">
        <is>
          <t>Company Intelligence</t>
        </is>
      </c>
      <c r="N162" s="2" t="inlineStr">
        <is>
          <t>supply_chain</t>
        </is>
      </c>
      <c r="O162" s="2" t="inlineStr">
        <is>
          <t>ALB_001</t>
        </is>
      </c>
      <c r="P162" s="2" t="inlineStr">
        <is>
          <t>我们要评估锂盐供应在贸易政策变化下的脆弱性。雅保（Albemarle）最新年报如何披露其锂资源与转化加工的全球布局，以及相关的贸易政策风险？</t>
        </is>
      </c>
      <c r="Q162" s="2" t="inlineStr">
        <is>
          <t>Evidence ID: ALB_001 Title: Albemarle Corporation Form 10-K（fiscal year ended December 31, 2025）雅保2025财年年报 Publisher: 雅保公司（Albemarle Corporation，SEC EDGAR） Country/Jurisdiction: US/CL/AU/CN / Federal (SEC registrant) Publication date: 2026-02-11 Status: CURRENT Topic: 供应链布局 Appli</t>
        </is>
      </c>
    </row>
    <row r="163">
      <c r="A163" s="2" t="inlineStr">
        <is>
          <t>Q033</t>
        </is>
      </c>
      <c r="B163" s="2" t="n">
        <v>2</v>
      </c>
      <c r="C163" s="2" t="inlineStr">
        <is>
          <t>DHS_001</t>
        </is>
      </c>
      <c r="D163" s="2" t="inlineStr">
        <is>
          <t>Notice Regarding the Uyghur Forced Labor Prevention Act Entity List（UFLPA 实体清单更新公告）</t>
        </is>
      </c>
      <c r="E163" s="2" t="inlineStr">
        <is>
          <t>劳工</t>
        </is>
      </c>
      <c r="F163" s="2" t="inlineStr">
        <is>
          <t>S</t>
        </is>
      </c>
      <c r="G163" s="2" t="n">
        <v>0</v>
      </c>
      <c r="H163" s="2" t="n">
        <v>2</v>
      </c>
      <c r="I163" s="3" t="n">
        <v>1</v>
      </c>
      <c r="J163" s="3" t="n">
        <v>2</v>
      </c>
      <c r="K163" s="2" t="inlineStr">
        <is>
          <t>美国 UFLPA 清单含碳酸锂与电池铝箔实体，直接构成锂材料供应链的贸易/合规风险 ｜ 人工判定与Auto(0)不同，请复核</t>
        </is>
      </c>
      <c r="L163" s="2" t="inlineStr">
        <is>
          <t>美国国土安全部（DHS，Federal Register）</t>
        </is>
      </c>
      <c r="M163" s="2" t="inlineStr">
        <is>
          <t>Company Intelligence</t>
        </is>
      </c>
      <c r="N163" s="2" t="inlineStr">
        <is>
          <t>supply_chain</t>
        </is>
      </c>
      <c r="O163" s="2" t="inlineStr">
        <is>
          <t>ALB_001</t>
        </is>
      </c>
      <c r="P163" s="2" t="inlineStr">
        <is>
          <t>我们要评估锂盐供应在贸易政策变化下的脆弱性。雅保（Albemarle）最新年报如何披露其锂资源与转化加工的全球布局，以及相关的贸易政策风险？</t>
        </is>
      </c>
      <c r="Q16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4">
      <c r="A164" s="2" t="inlineStr">
        <is>
          <t>Q033</t>
        </is>
      </c>
      <c r="B164" s="2" t="n">
        <v>3</v>
      </c>
      <c r="C164" s="2" t="inlineStr">
        <is>
          <t>SNE_001</t>
        </is>
      </c>
      <c r="D164" s="2" t="inlineStr">
        <is>
          <t>January-August 2026 Global EV Battery Usage Reaches 844.2 GWh, Up 19.7% Year-on-Year（2026年1–8月全球动力电池装车量快报）</t>
        </is>
      </c>
      <c r="E164" s="2" t="inlineStr">
        <is>
          <t>供应链布局</t>
        </is>
      </c>
      <c r="F164" s="2" t="inlineStr">
        <is>
          <t>B</t>
        </is>
      </c>
      <c r="G164" s="2" t="n">
        <v>1</v>
      </c>
      <c r="H164" s="2" t="n">
        <v>1</v>
      </c>
      <c r="I164" s="3" t="n">
        <v>1</v>
      </c>
      <c r="J164" s="3" t="n">
        <v>1</v>
      </c>
      <c r="K164" s="2" t="inlineStr">
        <is>
          <t>全球电池装车量数据，可支撑锂盐需求侧判断，但不涉及雅保自身布局</t>
        </is>
      </c>
      <c r="L164" s="2" t="inlineStr">
        <is>
          <t>SNE Research</t>
        </is>
      </c>
      <c r="M164" s="2" t="inlineStr">
        <is>
          <t>Company Intelligence</t>
        </is>
      </c>
      <c r="N164" s="2" t="inlineStr">
        <is>
          <t>supply_chain</t>
        </is>
      </c>
      <c r="O164" s="2" t="inlineStr">
        <is>
          <t>ALB_001</t>
        </is>
      </c>
      <c r="P164" s="2" t="inlineStr">
        <is>
          <t>我们要评估锂盐供应在贸易政策变化下的脆弱性。雅保（Albemarle）最新年报如何披露其锂资源与转化加工的全球布局，以及相关的贸易政策风险？</t>
        </is>
      </c>
      <c r="Q16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65">
      <c r="A165" s="2" t="inlineStr">
        <is>
          <t>Q033</t>
        </is>
      </c>
      <c r="B165" s="2" t="n">
        <v>4</v>
      </c>
      <c r="C165" s="2" t="inlineStr">
        <is>
          <t>TRD_001</t>
        </is>
      </c>
      <c r="D165" s="2" t="inlineStr">
        <is>
          <t>美国自中国、越南、泰国、马来西亚进口 HS 870380, 850760，2018–2025年度</t>
        </is>
      </c>
      <c r="E165" s="2" t="inlineStr">
        <is>
          <t>贸易流</t>
        </is>
      </c>
      <c r="F165" s="2" t="inlineStr">
        <is>
          <t>A+</t>
        </is>
      </c>
      <c r="G165" s="2" t="n">
        <v>1</v>
      </c>
      <c r="H165" s="2" t="n">
        <v>2</v>
      </c>
      <c r="I165" s="3" t="n">
        <v>1</v>
      </c>
      <c r="J165" s="3" t="n">
        <v>2</v>
      </c>
      <c r="K165" s="2" t="inlineStr">
        <is>
          <t>美国 EV/锂电池进口数据，可作锂电材料贸易流背景</t>
        </is>
      </c>
      <c r="L165" s="2" t="inlineStr">
        <is>
          <t>联合国商品贸易统计数据库（UN Comtrade）</t>
        </is>
      </c>
      <c r="M165" s="2" t="inlineStr">
        <is>
          <t>Company Intelligence</t>
        </is>
      </c>
      <c r="N165" s="2" t="inlineStr">
        <is>
          <t>supply_chain</t>
        </is>
      </c>
      <c r="O165" s="2" t="inlineStr">
        <is>
          <t>ALB_001</t>
        </is>
      </c>
      <c r="P165" s="2" t="inlineStr">
        <is>
          <t>我们要评估锂盐供应在贸易政策变化下的脆弱性。雅保（Albemarle）最新年报如何披露其锂资源与转化加工的全球布局，以及相关的贸易政策风险？</t>
        </is>
      </c>
      <c r="Q165"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66">
      <c r="A166" s="2" t="inlineStr">
        <is>
          <t>Q033</t>
        </is>
      </c>
      <c r="B166" s="2" t="n">
        <v>5</v>
      </c>
      <c r="C166" s="2" t="inlineStr">
        <is>
          <t>EU_003</t>
        </is>
      </c>
      <c r="D166" s="2" t="inlineStr">
        <is>
          <t>Commission Implementing Regulation (EU) 2024/2754 imposing a definitive countervailing duty on imports of new battery electric vehicles originating in China（对华纯电动车最终反补贴税）</t>
        </is>
      </c>
      <c r="E166" s="2" t="inlineStr">
        <is>
          <t>关税</t>
        </is>
      </c>
      <c r="F166" s="2" t="inlineStr">
        <is>
          <t>S</t>
        </is>
      </c>
      <c r="G166" s="2" t="n">
        <v>0</v>
      </c>
      <c r="H166" s="2" t="n">
        <v>2</v>
      </c>
      <c r="I166" s="3" t="n">
        <v>0</v>
      </c>
      <c r="J166" s="3" t="n">
        <v>2</v>
      </c>
      <c r="K166" s="2" t="inlineStr">
        <is>
          <t>欧盟对华整车反补贴税率与雅保锂资源/转化加工的全球布局无关（跨主体、跨主题）</t>
        </is>
      </c>
      <c r="L166" s="2" t="inlineStr">
        <is>
          <t>欧盟委员会（EUR-Lex / Official Journal）</t>
        </is>
      </c>
      <c r="M166" s="2" t="inlineStr">
        <is>
          <t>Company Intelligence</t>
        </is>
      </c>
      <c r="N166" s="2" t="inlineStr">
        <is>
          <t>supply_chain</t>
        </is>
      </c>
      <c r="O166" s="2" t="inlineStr">
        <is>
          <t>ALB_001</t>
        </is>
      </c>
      <c r="P166" s="2" t="inlineStr">
        <is>
          <t>我们要评估锂盐供应在贸易政策变化下的脆弱性。雅保（Albemarle）最新年报如何披露其锂资源与转化加工的全球布局，以及相关的贸易政策风险？</t>
        </is>
      </c>
      <c r="Q166" s="2" t="inlineStr">
        <is>
          <t>_x_tr_sch=http&amp;_x_tr_sl=auto&amp;_x_tr_tl=en&amp;_x_tr_hl=en&amp;_x_tr_pto=wapp Appellate Body Report, United States – Final Countervailing Duty Determination with Respect to Certain Softwood Lumber from Canada , WT/DS257/AB/R, para. 102. See recital (492), and in particular footnote 72, whi</t>
        </is>
      </c>
    </row>
    <row r="167">
      <c r="A167" s="2" t="inlineStr">
        <is>
          <t>Q034</t>
        </is>
      </c>
      <c r="B167" s="2" t="n">
        <v>1</v>
      </c>
      <c r="C167" s="2" t="inlineStr">
        <is>
          <t>USMCA_001</t>
        </is>
      </c>
      <c r="D167" s="2" t="inlineStr">
        <is>
          <t>USMCA Chapter 4: Rules of Origin（美墨加协定第4章原产地规则）</t>
        </is>
      </c>
      <c r="E167" s="2" t="inlineStr">
        <is>
          <t>原产地与转运</t>
        </is>
      </c>
      <c r="F167" s="2" t="inlineStr">
        <is>
          <t>S</t>
        </is>
      </c>
      <c r="G167" s="2" t="n">
        <v>2</v>
      </c>
      <c r="H167" s="2" t="n">
        <v>2</v>
      </c>
      <c r="I167" s="3" t="n">
        <v>2</v>
      </c>
      <c r="J167" s="3" t="n">
        <v>2</v>
      </c>
      <c r="K167" s="2" t="inlineStr">
        <is>
          <t>本题 expected 证据：第4章原产地规则给出 75%/65% 区域成分门槛与劳动价值含量要求</t>
        </is>
      </c>
      <c r="L167" s="2" t="inlineStr">
        <is>
          <t>美国贸易代表办公室（USTR）</t>
        </is>
      </c>
      <c r="M167" s="2" t="inlineStr">
        <is>
          <t>Market Access</t>
        </is>
      </c>
      <c r="N167" s="2" t="inlineStr">
        <is>
          <t>trade_policy</t>
        </is>
      </c>
      <c r="O167" s="2" t="inlineStr">
        <is>
          <t>USMCA_001</t>
        </is>
      </c>
      <c r="P167" s="2" t="inlineStr">
        <is>
          <t>假设我们把电池包组装放在墨西哥、电芯仍从中国采购，要享受USMCA优惠关税必须满足什么原产地成分门槛？</t>
        </is>
      </c>
      <c r="Q16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68">
      <c r="A168" s="2" t="inlineStr">
        <is>
          <t>Q034</t>
        </is>
      </c>
      <c r="B168" s="2" t="n">
        <v>2</v>
      </c>
      <c r="C168" s="2" t="inlineStr">
        <is>
          <t>DHS_001</t>
        </is>
      </c>
      <c r="D168" s="2" t="inlineStr">
        <is>
          <t>Notice Regarding the Uyghur Forced Labor Prevention Act Entity List（UFLPA 实体清单更新公告）</t>
        </is>
      </c>
      <c r="E168" s="2" t="inlineStr">
        <is>
          <t>劳工</t>
        </is>
      </c>
      <c r="F168" s="2" t="inlineStr">
        <is>
          <t>S</t>
        </is>
      </c>
      <c r="G168" s="2" t="n">
        <v>0</v>
      </c>
      <c r="H168" s="2" t="n">
        <v>2</v>
      </c>
      <c r="I168" s="3" t="n">
        <v>0</v>
      </c>
      <c r="J168" s="3" t="n">
        <v>2</v>
      </c>
      <c r="K168" s="2" t="inlineStr">
        <is>
          <t>强迫劳动合规与 USMCA 原产地门槛无关</t>
        </is>
      </c>
      <c r="L168" s="2" t="inlineStr">
        <is>
          <t>美国国土安全部（DHS，Federal Register）</t>
        </is>
      </c>
      <c r="M168" s="2" t="inlineStr">
        <is>
          <t>Market Access</t>
        </is>
      </c>
      <c r="N168" s="2" t="inlineStr">
        <is>
          <t>trade_policy</t>
        </is>
      </c>
      <c r="O168" s="2" t="inlineStr">
        <is>
          <t>USMCA_001</t>
        </is>
      </c>
      <c r="P168" s="2" t="inlineStr">
        <is>
          <t>假设我们把电池包组装放在墨西哥、电芯仍从中国采购，要享受USMCA优惠关税必须满足什么原产地成分门槛？</t>
        </is>
      </c>
      <c r="Q16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9">
      <c r="A169" s="2" t="inlineStr">
        <is>
          <t>Q034</t>
        </is>
      </c>
      <c r="B169" s="2" t="n">
        <v>3</v>
      </c>
      <c r="C169" s="2" t="inlineStr">
        <is>
          <t>CSIS_001</t>
        </is>
      </c>
      <c r="D169" s="2" t="inlineStr">
        <is>
          <t>The Visibility Gap: How AI Can Stop Chinese Transshipment Under USMCA</t>
        </is>
      </c>
      <c r="E169" s="2" t="inlineStr">
        <is>
          <t>原产地与转运</t>
        </is>
      </c>
      <c r="F169" s="2" t="inlineStr">
        <is>
          <t>A</t>
        </is>
      </c>
      <c r="G169" s="2" t="n">
        <v>1</v>
      </c>
      <c r="H169" s="2" t="n">
        <v>2</v>
      </c>
      <c r="I169" s="3" t="n">
        <v>1</v>
      </c>
      <c r="J169" s="3" t="n">
        <v>2</v>
      </c>
      <c r="K169" s="2" t="inlineStr">
        <is>
          <t>转运可视化与执法分析，可支持‘原产地需可举证’的实施难度判断</t>
        </is>
      </c>
      <c r="L169" s="2" t="inlineStr">
        <is>
          <t>战略与国际研究中心（CSIS）</t>
        </is>
      </c>
      <c r="M169" s="2" t="inlineStr">
        <is>
          <t>Market Access</t>
        </is>
      </c>
      <c r="N169" s="2" t="inlineStr">
        <is>
          <t>trade_policy</t>
        </is>
      </c>
      <c r="O169" s="2" t="inlineStr">
        <is>
          <t>USMCA_001</t>
        </is>
      </c>
      <c r="P169" s="2" t="inlineStr">
        <is>
          <t>假设我们把电池包组装放在墨西哥、电芯仍从中国采购，要享受USMCA优惠关税必须满足什么原产地成分门槛？</t>
        </is>
      </c>
      <c r="Q169"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70">
      <c r="A170" s="2" t="inlineStr">
        <is>
          <t>Q034</t>
        </is>
      </c>
      <c r="B170" s="2" t="n">
        <v>4</v>
      </c>
      <c r="C170" s="2" t="inlineStr">
        <is>
          <t>SNE_001</t>
        </is>
      </c>
      <c r="D170" s="2" t="inlineStr">
        <is>
          <t>January-August 2026 Global EV Battery Usage Reaches 844.2 GWh, Up 19.7% Year-on-Year（2026年1–8月全球动力电池装车量快报）</t>
        </is>
      </c>
      <c r="E170" s="2" t="inlineStr">
        <is>
          <t>供应链布局</t>
        </is>
      </c>
      <c r="F170" s="2" t="inlineStr">
        <is>
          <t>B</t>
        </is>
      </c>
      <c r="G170" s="2" t="n">
        <v>1</v>
      </c>
      <c r="H170" s="2" t="n">
        <v>1</v>
      </c>
      <c r="I170" s="3" t="n">
        <v>0</v>
      </c>
      <c r="J170" s="3" t="n">
        <v>1</v>
      </c>
      <c r="K170" s="2" t="inlineStr">
        <is>
          <t>电池市场数据与原产地门槛无关 ｜ 人工判定与Auto(1)不同，请复核</t>
        </is>
      </c>
      <c r="L170" s="2" t="inlineStr">
        <is>
          <t>SNE Research</t>
        </is>
      </c>
      <c r="M170" s="2" t="inlineStr">
        <is>
          <t>Market Access</t>
        </is>
      </c>
      <c r="N170" s="2" t="inlineStr">
        <is>
          <t>trade_policy</t>
        </is>
      </c>
      <c r="O170" s="2" t="inlineStr">
        <is>
          <t>USMCA_001</t>
        </is>
      </c>
      <c r="P170" s="2" t="inlineStr">
        <is>
          <t>假设我们把电池包组装放在墨西哥、电芯仍从中国采购，要享受USMCA优惠关税必须满足什么原产地成分门槛？</t>
        </is>
      </c>
      <c r="Q17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71">
      <c r="A171" s="2" t="inlineStr">
        <is>
          <t>Q034</t>
        </is>
      </c>
      <c r="B171" s="2" t="n">
        <v>5</v>
      </c>
      <c r="C171" s="2" t="inlineStr">
        <is>
          <t>IRS_001</t>
        </is>
      </c>
      <c r="D171" s="2" t="inlineStr">
        <is>
          <t>Clean Vehicle Credits Under Sections 25E and 30D; Transfer of Credits; Critical Minerals and Battery Components; Foreign Entities of Concern（清洁车辆抵免与FEOC最终规则）</t>
        </is>
      </c>
      <c r="E171" s="2" t="inlineStr">
        <is>
          <t>本地化政策</t>
        </is>
      </c>
      <c r="F171" s="2" t="inlineStr">
        <is>
          <t>S</t>
        </is>
      </c>
      <c r="G171" s="2" t="n">
        <v>0</v>
      </c>
      <c r="H171" s="2" t="n">
        <v>2</v>
      </c>
      <c r="I171" s="3" t="n">
        <v>1</v>
      </c>
      <c r="J171" s="3" t="n">
        <v>2</v>
      </c>
      <c r="K171" s="2" t="inlineStr">
        <is>
          <t>美国 IRA 电池组件/关键矿物本地含量规则，属同类内容门槛，可用于对照但不适用于 USMCA ｜ 人工判定与Auto(0)不同，请复核</t>
        </is>
      </c>
      <c r="L171" s="2" t="inlineStr">
        <is>
          <t>美国财政部/国税局（Federal Register）</t>
        </is>
      </c>
      <c r="M171" s="2" t="inlineStr">
        <is>
          <t>Market Access</t>
        </is>
      </c>
      <c r="N171" s="2" t="inlineStr">
        <is>
          <t>trade_policy</t>
        </is>
      </c>
      <c r="O171" s="2" t="inlineStr">
        <is>
          <t>USMCA_001</t>
        </is>
      </c>
      <c r="P171" s="2" t="inlineStr">
        <is>
          <t>假设我们把电池包组装放在墨西哥、电芯仍从中国采购，要享受USMCA优惠关税必须满足什么原产地成分门槛？</t>
        </is>
      </c>
      <c r="Q171"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2">
      <c r="A172" s="2" t="inlineStr">
        <is>
          <t>Q035</t>
        </is>
      </c>
      <c r="B172" s="2" t="n">
        <v>1</v>
      </c>
      <c r="C172" s="2" t="inlineStr">
        <is>
          <t>WTO_002</t>
        </is>
      </c>
      <c r="D172" s="2" t="inlineStr">
        <is>
          <t>Trade Policy Review: Report by the Secretariat — India（WT/TPR/S/403）印度第七次贸易政策审议秘书处报告</t>
        </is>
      </c>
      <c r="E172" s="2" t="inlineStr">
        <is>
          <t>贸易流</t>
        </is>
      </c>
      <c r="F172" s="2" t="inlineStr">
        <is>
          <t>A+</t>
        </is>
      </c>
      <c r="G172" s="2" t="n">
        <v>2</v>
      </c>
      <c r="H172" s="2" t="n">
        <v>2</v>
      </c>
      <c r="I172" s="3" t="n">
        <v>2</v>
      </c>
      <c r="J172" s="3" t="n">
        <v>2</v>
      </c>
      <c r="K172" s="2" t="inlineStr">
        <is>
          <t>本题 expected 证据：WTO 对印贸易政策审议，覆盖关税结构与本地化/投资审查基线</t>
        </is>
      </c>
      <c r="L172" s="2" t="inlineStr">
        <is>
          <t>世界贸易组织（WTO）</t>
        </is>
      </c>
      <c r="M172" s="2" t="inlineStr">
        <is>
          <t>Policy / Trade Risk</t>
        </is>
      </c>
      <c r="N172" s="2" t="inlineStr">
        <is>
          <t>tariff</t>
        </is>
      </c>
      <c r="O172" s="2" t="inlineStr">
        <is>
          <t>WTO_002; WTO_003</t>
        </is>
      </c>
      <c r="P172" s="2" t="inlineStr">
        <is>
          <t>我们准备在印度本地建厂以服务当地市场，印度当前的进口关税水平与贸易/本地化政策基线是什么？</t>
        </is>
      </c>
      <c r="Q172"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73">
      <c r="A173" s="2" t="inlineStr">
        <is>
          <t>Q035</t>
        </is>
      </c>
      <c r="B173" s="2" t="n">
        <v>2</v>
      </c>
      <c r="C173" s="2" t="inlineStr">
        <is>
          <t>WTO_003</t>
        </is>
      </c>
      <c r="D173" s="2" t="inlineStr">
        <is>
          <t>WTO Tariff Profile: India — Tariffs and Imports Summary（WTO国别关税快照：印度）</t>
        </is>
      </c>
      <c r="E173" s="2" t="inlineStr">
        <is>
          <t>贸易流</t>
        </is>
      </c>
      <c r="F173" s="2" t="inlineStr">
        <is>
          <t>A+</t>
        </is>
      </c>
      <c r="G173" s="2" t="n">
        <v>2</v>
      </c>
      <c r="H173" s="2" t="n">
        <v>2</v>
      </c>
      <c r="I173" s="3" t="n">
        <v>2</v>
      </c>
      <c r="J173" s="3" t="n">
        <v>2</v>
      </c>
      <c r="K173" s="2" t="inlineStr">
        <is>
          <t>本题 expected 证据：印度 2025 年 MFN 平均 16.0%、非农 12.8% 等关税量化数据</t>
        </is>
      </c>
      <c r="L173" s="2" t="inlineStr">
        <is>
          <t>世界贸易组织（WTO）</t>
        </is>
      </c>
      <c r="M173" s="2" t="inlineStr">
        <is>
          <t>Policy / Trade Risk</t>
        </is>
      </c>
      <c r="N173" s="2" t="inlineStr">
        <is>
          <t>tariff</t>
        </is>
      </c>
      <c r="O173" s="2" t="inlineStr">
        <is>
          <t>WTO_002; WTO_003</t>
        </is>
      </c>
      <c r="P173" s="2" t="inlineStr">
        <is>
          <t>我们准备在印度本地建厂以服务当地市场，印度当前的进口关税水平与贸易/本地化政策基线是什么？</t>
        </is>
      </c>
      <c r="Q173" s="2" t="inlineStr">
        <is>
          <t>Evidence ID: WTO_003 Title: WTO Tariff Profile: India — Tariffs and Imports Summary（WTO国别关税快照：印度） Publisher: 世界贸易组织（WTO） Country/Jurisdiction: IN / National Publication date: 2025-07 Status: CURRENT Topic: 贸易流 Applicability scope: GENERAL Related industries: 通用 Key finding: WTO国别</t>
        </is>
      </c>
    </row>
    <row r="174">
      <c r="A174" s="2" t="inlineStr">
        <is>
          <t>Q035</t>
        </is>
      </c>
      <c r="B174" s="2" t="n">
        <v>3</v>
      </c>
      <c r="C174" s="2" t="inlineStr">
        <is>
          <t>IRS_001</t>
        </is>
      </c>
      <c r="D174" s="2" t="inlineStr">
        <is>
          <t>Clean Vehicle Credits Under Sections 25E and 30D; Transfer of Credits; Critical Minerals and Battery Components; Foreign Entities of Concern（清洁车辆抵免与FEOC最终规则）</t>
        </is>
      </c>
      <c r="E174" s="2" t="inlineStr">
        <is>
          <t>本地化政策</t>
        </is>
      </c>
      <c r="F174" s="2" t="inlineStr">
        <is>
          <t>S</t>
        </is>
      </c>
      <c r="G174" s="2" t="n">
        <v>0</v>
      </c>
      <c r="H174" s="2" t="n">
        <v>2</v>
      </c>
      <c r="I174" s="3" t="n">
        <v>1</v>
      </c>
      <c r="J174" s="3" t="n">
        <v>2</v>
      </c>
      <c r="K174" s="2" t="inlineStr">
        <is>
          <t>美国 IRA 本地含量规则，属同类本地化政策对照，但非印度规则 ｜ 人工判定与Auto(0)不同，请复核</t>
        </is>
      </c>
      <c r="L174" s="2" t="inlineStr">
        <is>
          <t>美国财政部/国税局（Federal Register）</t>
        </is>
      </c>
      <c r="M174" s="2" t="inlineStr">
        <is>
          <t>Policy / Trade Risk</t>
        </is>
      </c>
      <c r="N174" s="2" t="inlineStr">
        <is>
          <t>tariff</t>
        </is>
      </c>
      <c r="O174" s="2" t="inlineStr">
        <is>
          <t>WTO_002; WTO_003</t>
        </is>
      </c>
      <c r="P174" s="2" t="inlineStr">
        <is>
          <t>我们准备在印度本地建厂以服务当地市场，印度当前的进口关税水平与贸易/本地化政策基线是什么？</t>
        </is>
      </c>
      <c r="Q174"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5">
      <c r="A175" s="2" t="inlineStr">
        <is>
          <t>Q035</t>
        </is>
      </c>
      <c r="B175" s="2" t="n">
        <v>4</v>
      </c>
      <c r="C175" s="2" t="inlineStr">
        <is>
          <t>WTO_004</t>
        </is>
      </c>
      <c r="D175" s="2" t="inlineStr">
        <is>
          <t>Trade Policy Review: Report by the Secretariat — Indonesia（WT/TPR/S/401）印尼第七次贸易政策审议秘书处报告</t>
        </is>
      </c>
      <c r="E175" s="2" t="inlineStr">
        <is>
          <t>本地化政策</t>
        </is>
      </c>
      <c r="F175" s="2" t="inlineStr">
        <is>
          <t>A+</t>
        </is>
      </c>
      <c r="G175" s="2" t="n">
        <v>0</v>
      </c>
      <c r="H175" s="2" t="n">
        <v>2</v>
      </c>
      <c r="I175" s="3" t="n">
        <v>1</v>
      </c>
      <c r="J175" s="3" t="n">
        <v>2</v>
      </c>
      <c r="K175" s="2" t="inlineStr">
        <is>
          <t>印尼贸易政策审议，属同类市场准入基线，可作区域对照但非印度数据 ｜ 人工判定与Auto(0)不同，请复核</t>
        </is>
      </c>
      <c r="L175" s="2" t="inlineStr">
        <is>
          <t>世界贸易组织（WTO）</t>
        </is>
      </c>
      <c r="M175" s="2" t="inlineStr">
        <is>
          <t>Policy / Trade Risk</t>
        </is>
      </c>
      <c r="N175" s="2" t="inlineStr">
        <is>
          <t>tariff</t>
        </is>
      </c>
      <c r="O175" s="2" t="inlineStr">
        <is>
          <t>WTO_002; WTO_003</t>
        </is>
      </c>
      <c r="P175" s="2" t="inlineStr">
        <is>
          <t>我们准备在印度本地建厂以服务当地市场，印度当前的进口关税水平与贸易/本地化政策基线是什么？</t>
        </is>
      </c>
      <c r="Q175"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6">
      <c r="A176" s="2" t="inlineStr">
        <is>
          <t>Q035</t>
        </is>
      </c>
      <c r="B176" s="2" t="n">
        <v>5</v>
      </c>
      <c r="C176" s="2" t="inlineStr">
        <is>
          <t>DHS_001</t>
        </is>
      </c>
      <c r="D176" s="2" t="inlineStr">
        <is>
          <t>Notice Regarding the Uyghur Forced Labor Prevention Act Entity List（UFLPA 实体清单更新公告）</t>
        </is>
      </c>
      <c r="E176" s="2" t="inlineStr">
        <is>
          <t>劳工</t>
        </is>
      </c>
      <c r="F176" s="2" t="inlineStr">
        <is>
          <t>S</t>
        </is>
      </c>
      <c r="G176" s="2" t="n">
        <v>0</v>
      </c>
      <c r="H176" s="2" t="n">
        <v>2</v>
      </c>
      <c r="I176" s="3" t="n">
        <v>0</v>
      </c>
      <c r="J176" s="3" t="n">
        <v>2</v>
      </c>
      <c r="K176" s="2" t="inlineStr">
        <is>
          <t>美国强迫劳动清单与印度准入基线无关</t>
        </is>
      </c>
      <c r="L176" s="2" t="inlineStr">
        <is>
          <t>美国国土安全部（DHS，Federal Register）</t>
        </is>
      </c>
      <c r="M176" s="2" t="inlineStr">
        <is>
          <t>Policy / Trade Risk</t>
        </is>
      </c>
      <c r="N176" s="2" t="inlineStr">
        <is>
          <t>tariff</t>
        </is>
      </c>
      <c r="O176" s="2" t="inlineStr">
        <is>
          <t>WTO_002; WTO_003</t>
        </is>
      </c>
      <c r="P176" s="2" t="inlineStr">
        <is>
          <t>我们准备在印度本地建厂以服务当地市场，印度当前的进口关税水平与贸易/本地化政策基线是什么？</t>
        </is>
      </c>
      <c r="Q17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77">
      <c r="A177" s="2" t="inlineStr">
        <is>
          <t>Q036</t>
        </is>
      </c>
      <c r="B177" s="2" t="n">
        <v>1</v>
      </c>
      <c r="C177" s="2" t="inlineStr">
        <is>
          <t>WTO_004</t>
        </is>
      </c>
      <c r="D177" s="2" t="inlineStr">
        <is>
          <t>Trade Policy Review: Report by the Secretariat — Indonesia（WT/TPR/S/401）印尼第七次贸易政策审议秘书处报告</t>
        </is>
      </c>
      <c r="E177" s="2" t="inlineStr">
        <is>
          <t>本地化政策</t>
        </is>
      </c>
      <c r="F177" s="2" t="inlineStr">
        <is>
          <t>A+</t>
        </is>
      </c>
      <c r="G177" s="2" t="n">
        <v>2</v>
      </c>
      <c r="H177" s="2" t="n">
        <v>2</v>
      </c>
      <c r="I177" s="3" t="n">
        <v>2</v>
      </c>
      <c r="J177" s="3" t="n">
        <v>2</v>
      </c>
      <c r="K177" s="2" t="inlineStr">
        <is>
          <t>本题 expected 证据：WTO 对印尼审议记载 TKDN 本地含量要求与镍矿出口禁令/下游化政策</t>
        </is>
      </c>
      <c r="L177" s="2" t="inlineStr">
        <is>
          <t>世界贸易组织（WTO）</t>
        </is>
      </c>
      <c r="M177" s="2" t="inlineStr">
        <is>
          <t>Market Access</t>
        </is>
      </c>
      <c r="N177" s="2" t="inlineStr">
        <is>
          <t>localization_policy</t>
        </is>
      </c>
      <c r="O177" s="2" t="inlineStr">
        <is>
          <t>WTO_004</t>
        </is>
      </c>
      <c r="P177" s="2" t="inlineStr">
        <is>
          <t>印尼对镍与电池产业链设置了哪些本地含量和矿产下游化要求，会影响我们在当地的投资与采购安排？</t>
        </is>
      </c>
      <c r="Q177"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8">
      <c r="A178" s="2" t="inlineStr">
        <is>
          <t>Q036</t>
        </is>
      </c>
      <c r="B178" s="2" t="n">
        <v>2</v>
      </c>
      <c r="C178" s="2" t="inlineStr">
        <is>
          <t>IRS_001</t>
        </is>
      </c>
      <c r="D178" s="2" t="inlineStr">
        <is>
          <t>Clean Vehicle Credits Under Sections 25E and 30D; Transfer of Credits; Critical Minerals and Battery Components; Foreign Entities of Concern（清洁车辆抵免与FEOC最终规则）</t>
        </is>
      </c>
      <c r="E178" s="2" t="inlineStr">
        <is>
          <t>本地化政策</t>
        </is>
      </c>
      <c r="F178" s="2" t="inlineStr">
        <is>
          <t>S</t>
        </is>
      </c>
      <c r="G178" s="2" t="n">
        <v>1</v>
      </c>
      <c r="H178" s="2" t="n">
        <v>2</v>
      </c>
      <c r="I178" s="3" t="n">
        <v>1</v>
      </c>
      <c r="J178" s="3" t="n">
        <v>2</v>
      </c>
      <c r="K178" s="2" t="inlineStr">
        <is>
          <t>美国 IRA 电池本地含量规则，属同类本地化政策对照，但非印尼规则</t>
        </is>
      </c>
      <c r="L178" s="2" t="inlineStr">
        <is>
          <t>美国财政部/国税局（Federal Register）</t>
        </is>
      </c>
      <c r="M178" s="2" t="inlineStr">
        <is>
          <t>Market Access</t>
        </is>
      </c>
      <c r="N178" s="2" t="inlineStr">
        <is>
          <t>localization_policy</t>
        </is>
      </c>
      <c r="O178" s="2" t="inlineStr">
        <is>
          <t>WTO_004</t>
        </is>
      </c>
      <c r="P178" s="2" t="inlineStr">
        <is>
          <t>印尼对镍与电池产业链设置了哪些本地含量和矿产下游化要求，会影响我们在当地的投资与采购安排？</t>
        </is>
      </c>
      <c r="Q178"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9">
      <c r="A179" s="2" t="inlineStr">
        <is>
          <t>Q036</t>
        </is>
      </c>
      <c r="B179" s="2" t="n">
        <v>3</v>
      </c>
      <c r="C179" s="2" t="inlineStr">
        <is>
          <t>DHS_001</t>
        </is>
      </c>
      <c r="D179" s="2" t="inlineStr">
        <is>
          <t>Notice Regarding the Uyghur Forced Labor Prevention Act Entity List（UFLPA 实体清单更新公告）</t>
        </is>
      </c>
      <c r="E179" s="2" t="inlineStr">
        <is>
          <t>劳工</t>
        </is>
      </c>
      <c r="F179" s="2" t="inlineStr">
        <is>
          <t>S</t>
        </is>
      </c>
      <c r="G179" s="2" t="n">
        <v>0</v>
      </c>
      <c r="H179" s="2" t="n">
        <v>2</v>
      </c>
      <c r="I179" s="3" t="n">
        <v>0</v>
      </c>
      <c r="J179" s="3" t="n">
        <v>2</v>
      </c>
      <c r="K179" s="2" t="inlineStr">
        <is>
          <t>强迫劳动清单与印尼本地含量/下游化要求无关</t>
        </is>
      </c>
      <c r="L179" s="2" t="inlineStr">
        <is>
          <t>美国国土安全部（DHS，Federal Register）</t>
        </is>
      </c>
      <c r="M179" s="2" t="inlineStr">
        <is>
          <t>Market Access</t>
        </is>
      </c>
      <c r="N179" s="2" t="inlineStr">
        <is>
          <t>localization_policy</t>
        </is>
      </c>
      <c r="O179" s="2" t="inlineStr">
        <is>
          <t>WTO_004</t>
        </is>
      </c>
      <c r="P179" s="2" t="inlineStr">
        <is>
          <t>印尼对镍与电池产业链设置了哪些本地含量和矿产下游化要求，会影响我们在当地的投资与采购安排？</t>
        </is>
      </c>
      <c r="Q17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0">
      <c r="A180" s="2" t="inlineStr">
        <is>
          <t>Q036</t>
        </is>
      </c>
      <c r="B180" s="2" t="n">
        <v>4</v>
      </c>
      <c r="C180" s="2" t="inlineStr">
        <is>
          <t>EU_001</t>
        </is>
      </c>
      <c r="D180" s="2" t="inlineStr">
        <is>
          <t>Regulation (EU) 2023/1542 concerning batteries and waste batteries（欧盟电池与废电池法规）</t>
        </is>
      </c>
      <c r="E180" s="2" t="inlineStr">
        <is>
          <t>市场准入</t>
        </is>
      </c>
      <c r="F180" s="2" t="inlineStr">
        <is>
          <t>S</t>
        </is>
      </c>
      <c r="G180" s="2" t="n">
        <v>1</v>
      </c>
      <c r="H180" s="2" t="n">
        <v>2</v>
      </c>
      <c r="I180" s="3" t="n">
        <v>1</v>
      </c>
      <c r="J180" s="3" t="n">
        <v>2</v>
      </c>
      <c r="K180" s="2" t="inlineStr">
        <is>
          <t>欧盟电池法规的尽职调查与准入要求，属同类市场准入合规对照，但非印尼规则</t>
        </is>
      </c>
      <c r="L180" s="2" t="inlineStr">
        <is>
          <t>欧洲议会与欧盟理事会（EUR-Lex / Official Journal）</t>
        </is>
      </c>
      <c r="M180" s="2" t="inlineStr">
        <is>
          <t>Market Access</t>
        </is>
      </c>
      <c r="N180" s="2" t="inlineStr">
        <is>
          <t>localization_policy</t>
        </is>
      </c>
      <c r="O180" s="2" t="inlineStr">
        <is>
          <t>WTO_004</t>
        </is>
      </c>
      <c r="P180" s="2" t="inlineStr">
        <is>
          <t>印尼对镍与电池产业链设置了哪些本地含量和矿产下游化要求，会影响我们在当地的投资与采购安排？</t>
        </is>
      </c>
      <c r="Q180"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81">
      <c r="A181" s="2" t="inlineStr">
        <is>
          <t>Q036</t>
        </is>
      </c>
      <c r="B181" s="2" t="n">
        <v>5</v>
      </c>
      <c r="C181" s="2" t="inlineStr">
        <is>
          <t>MOFCOM_004</t>
        </is>
      </c>
      <c r="D181" s="2" t="inlineStr">
        <is>
          <t>对外投资合作国别（地区）指南：马来西亚（2025年版）</t>
        </is>
      </c>
      <c r="E181" s="2" t="inlineStr">
        <is>
          <t>对外投资</t>
        </is>
      </c>
      <c r="F181" s="2" t="inlineStr">
        <is>
          <t>S</t>
        </is>
      </c>
      <c r="G181" s="2" t="n">
        <v>0</v>
      </c>
      <c r="H181" s="2" t="n">
        <v>2</v>
      </c>
      <c r="I181" s="3" t="n">
        <v>0</v>
      </c>
      <c r="J181" s="3" t="n">
        <v>2</v>
      </c>
      <c r="K181" s="2" t="inlineStr">
        <is>
          <t>马来西亚投资环境指南：国家与主题均不符（本题问印尼镍本地含量与下游化要求）</t>
        </is>
      </c>
      <c r="L181" s="2" t="inlineStr">
        <is>
          <t>商务部对外投资和经济合作司、商务部国际贸易经济合作研究院、中国驻马来西亚大使馆经济商务处</t>
        </is>
      </c>
      <c r="M181" s="2" t="inlineStr">
        <is>
          <t>Market Access</t>
        </is>
      </c>
      <c r="N181" s="2" t="inlineStr">
        <is>
          <t>localization_policy</t>
        </is>
      </c>
      <c r="O181" s="2" t="inlineStr">
        <is>
          <t>WTO_004</t>
        </is>
      </c>
      <c r="P181" s="2" t="inlineStr">
        <is>
          <t>印尼对镍与电池产业链设置了哪些本地含量和矿产下游化要求，会影响我们在当地的投资与采购安排？</t>
        </is>
      </c>
      <c r="Q181" s="2" t="inlineStr">
        <is>
          <t>庭和企业安装屋顶太阳能， 多余电力可售回电网； 能源效率提升， 工业节能， 目标到2040 年工业能耗降低11%，建筑节能，推广绿色建筑标准（如GBI认证）和智能电网技术； 低 碳交通，电动汽车（EV）推广，目标到2030年EV占新车销量的15%； 提供进口税减免、 充电桩建设补贴等支持； 氢能与碳捕集，目标2030年建成低碳氢中心，2050年成为区域 氢能供应国， 计划2030年前建设3个氢能与碳捕集枢纽， 年储存能力1500万吨； 绿色金融 与投资，2023年设立国家能源转型基金，初始拨款20亿令吉，支持脱碳项目，鼓励私人 资本投资可再生能源和储能项</t>
        </is>
      </c>
    </row>
    <row r="182">
      <c r="A182" s="2" t="inlineStr">
        <is>
          <t>Q037</t>
        </is>
      </c>
      <c r="B182" s="2" t="n">
        <v>1</v>
      </c>
      <c r="C182" s="2" t="inlineStr">
        <is>
          <t>WB_001</t>
        </is>
      </c>
      <c r="D182" s="2" t="inlineStr">
        <is>
          <t>Connecting to Compete 2023: Trade Logistics in an Uncertain Global Economy（2023年物流绩效指数报告）</t>
        </is>
      </c>
      <c r="E182" s="2" t="inlineStr">
        <is>
          <t>物流</t>
        </is>
      </c>
      <c r="F182" s="2" t="inlineStr">
        <is>
          <t>A+</t>
        </is>
      </c>
      <c r="G182" s="2" t="n">
        <v>2</v>
      </c>
      <c r="H182" s="2" t="n">
        <v>2</v>
      </c>
      <c r="I182" s="3" t="n">
        <v>2</v>
      </c>
      <c r="J182" s="3" t="n">
        <v>2</v>
      </c>
      <c r="K182" s="2" t="inlineStr">
        <is>
          <t>本题 expected 证据：世行 LPI 2023 给出中国/越南/印尼/墨西哥的物流与海关分项评分，是本题唯一可量化基准</t>
        </is>
      </c>
      <c r="L182" s="2" t="inlineStr">
        <is>
          <t>世界银行（World Bank）</t>
        </is>
      </c>
      <c r="M182" s="2" t="inlineStr">
        <is>
          <t>Supply Chain Risk</t>
        </is>
      </c>
      <c r="N182" s="2" t="inlineStr">
        <is>
          <t>logistics</t>
        </is>
      </c>
      <c r="O182" s="2" t="inlineStr">
        <is>
          <t>WB_001</t>
        </is>
      </c>
      <c r="P182" s="2" t="inlineStr">
        <is>
          <t>如果产能从中国转移到越南、印尼或墨西哥，物流与通关效率会带来多大额外成本？有没有可量化的基准？</t>
        </is>
      </c>
      <c r="Q182"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83">
      <c r="A183" s="2" t="inlineStr">
        <is>
          <t>Q037</t>
        </is>
      </c>
      <c r="B183" s="2" t="n">
        <v>2</v>
      </c>
      <c r="C183" s="2" t="inlineStr">
        <is>
          <t>CASE_002</t>
        </is>
      </c>
      <c r="D183" s="2" t="inlineStr">
        <is>
          <t>美国对东南亚四国光伏产品反规避认定：视为中国原产并适用对华双反</t>
        </is>
      </c>
      <c r="E183" s="2" t="inlineStr">
        <is>
          <t>反规避</t>
        </is>
      </c>
      <c r="F183" s="2" t="inlineStr">
        <is>
          <t>S</t>
        </is>
      </c>
      <c r="G183" s="2" t="n">
        <v>0</v>
      </c>
      <c r="H183" s="2" t="n">
        <v>2</v>
      </c>
      <c r="I183" s="3" t="n">
        <v>0</v>
      </c>
      <c r="J183" s="3" t="n">
        <v>2</v>
      </c>
      <c r="K183" s="2" t="inlineStr">
        <is>
          <t>光伏反规避终裁与物流成本无关</t>
        </is>
      </c>
      <c r="L183" s="2" t="inlineStr">
        <is>
          <t>美国商务部（经律所解读）</t>
        </is>
      </c>
      <c r="M183" s="2" t="inlineStr">
        <is>
          <t>Supply Chain Risk</t>
        </is>
      </c>
      <c r="N183" s="2" t="inlineStr">
        <is>
          <t>logistics</t>
        </is>
      </c>
      <c r="O183" s="2" t="inlineStr">
        <is>
          <t>WB_001</t>
        </is>
      </c>
      <c r="P183" s="2" t="inlineStr">
        <is>
          <t>如果产能从中国转移到越南、印尼或墨西哥，物流与通关效率会带来多大额外成本？有没有可量化的基准？</t>
        </is>
      </c>
      <c r="Q18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84">
      <c r="A184" s="2" t="inlineStr">
        <is>
          <t>Q037</t>
        </is>
      </c>
      <c r="B184" s="2" t="n">
        <v>3</v>
      </c>
      <c r="C184" s="2" t="inlineStr">
        <is>
          <t>DHS_001</t>
        </is>
      </c>
      <c r="D184" s="2" t="inlineStr">
        <is>
          <t>Notice Regarding the Uyghur Forced Labor Prevention Act Entity List（UFLPA 实体清单更新公告）</t>
        </is>
      </c>
      <c r="E184" s="2" t="inlineStr">
        <is>
          <t>劳工</t>
        </is>
      </c>
      <c r="F184" s="2" t="inlineStr">
        <is>
          <t>S</t>
        </is>
      </c>
      <c r="G184" s="2" t="n">
        <v>0</v>
      </c>
      <c r="H184" s="2" t="n">
        <v>2</v>
      </c>
      <c r="I184" s="3" t="n">
        <v>0</v>
      </c>
      <c r="J184" s="3" t="n">
        <v>2</v>
      </c>
      <c r="K184" s="2" t="inlineStr">
        <is>
          <t>强迫劳动合规要求与物流成本无关</t>
        </is>
      </c>
      <c r="L184" s="2" t="inlineStr">
        <is>
          <t>美国国土安全部（DHS，Federal Register）</t>
        </is>
      </c>
      <c r="M184" s="2" t="inlineStr">
        <is>
          <t>Supply Chain Risk</t>
        </is>
      </c>
      <c r="N184" s="2" t="inlineStr">
        <is>
          <t>logistics</t>
        </is>
      </c>
      <c r="O184" s="2" t="inlineStr">
        <is>
          <t>WB_001</t>
        </is>
      </c>
      <c r="P184" s="2" t="inlineStr">
        <is>
          <t>如果产能从中国转移到越南、印尼或墨西哥，物流与通关效率会带来多大额外成本？有没有可量化的基准？</t>
        </is>
      </c>
      <c r="Q18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5">
      <c r="A185" s="2" t="inlineStr">
        <is>
          <t>Q037</t>
        </is>
      </c>
      <c r="B185" s="2" t="n">
        <v>4</v>
      </c>
      <c r="C185" s="2" t="inlineStr">
        <is>
          <t>TRD_001</t>
        </is>
      </c>
      <c r="D185" s="2" t="inlineStr">
        <is>
          <t>美国自中国、越南、泰国、马来西亚进口 HS 870380, 850760，2018–2025年度</t>
        </is>
      </c>
      <c r="E185" s="2" t="inlineStr">
        <is>
          <t>贸易流</t>
        </is>
      </c>
      <c r="F185" s="2" t="inlineStr">
        <is>
          <t>A+</t>
        </is>
      </c>
      <c r="G185" s="2" t="n">
        <v>1</v>
      </c>
      <c r="H185" s="2" t="n">
        <v>2</v>
      </c>
      <c r="I185" s="3" t="n">
        <v>1</v>
      </c>
      <c r="J185" s="3" t="n">
        <v>2</v>
      </c>
      <c r="K185" s="2" t="inlineStr">
        <is>
          <t>美国自中/越/泰/马进口数据可估转移规模，但不含物流与通关效率指标</t>
        </is>
      </c>
      <c r="L185" s="2" t="inlineStr">
        <is>
          <t>联合国商品贸易统计数据库（UN Comtrade）</t>
        </is>
      </c>
      <c r="M185" s="2" t="inlineStr">
        <is>
          <t>Supply Chain Risk</t>
        </is>
      </c>
      <c r="N185" s="2" t="inlineStr">
        <is>
          <t>logistics</t>
        </is>
      </c>
      <c r="O185" s="2" t="inlineStr">
        <is>
          <t>WB_001</t>
        </is>
      </c>
      <c r="P185" s="2" t="inlineStr">
        <is>
          <t>如果产能从中国转移到越南、印尼或墨西哥，物流与通关效率会带来多大额外成本？有没有可量化的基准？</t>
        </is>
      </c>
      <c r="Q185"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86">
      <c r="A186" s="2" t="inlineStr">
        <is>
          <t>Q037</t>
        </is>
      </c>
      <c r="B186" s="2" t="n">
        <v>5</v>
      </c>
      <c r="C186" s="2" t="inlineStr">
        <is>
          <t>EU_003</t>
        </is>
      </c>
      <c r="D186" s="2" t="inlineStr">
        <is>
          <t>Commission Implementing Regulation (EU) 2024/2754 imposing a definitive countervailing duty on imports of new battery electric vehicles originating in China（对华纯电动车最终反补贴税）</t>
        </is>
      </c>
      <c r="E186" s="2" t="inlineStr">
        <is>
          <t>关税</t>
        </is>
      </c>
      <c r="F186" s="2" t="inlineStr">
        <is>
          <t>S</t>
        </is>
      </c>
      <c r="G186" s="2" t="n">
        <v>0</v>
      </c>
      <c r="H186" s="2" t="n">
        <v>2</v>
      </c>
      <c r="I186" s="3" t="n">
        <v>0</v>
      </c>
      <c r="J186" s="3" t="n">
        <v>2</v>
      </c>
      <c r="K186" s="2" t="inlineStr">
        <is>
          <t>欧盟反补贴税属关税成本，非物流/通关效率</t>
        </is>
      </c>
      <c r="L186" s="2" t="inlineStr">
        <is>
          <t>欧盟委员会（EUR-Lex / Official Journal）</t>
        </is>
      </c>
      <c r="M186" s="2" t="inlineStr">
        <is>
          <t>Supply Chain Risk</t>
        </is>
      </c>
      <c r="N186" s="2" t="inlineStr">
        <is>
          <t>logistics</t>
        </is>
      </c>
      <c r="O186" s="2" t="inlineStr">
        <is>
          <t>WB_001</t>
        </is>
      </c>
      <c r="P186" s="2" t="inlineStr">
        <is>
          <t>如果产能从中国转移到越南、印尼或墨西哥，物流与通关效率会带来多大额外成本？有没有可量化的基准？</t>
        </is>
      </c>
      <c r="Q18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87">
      <c r="A187" s="2" t="inlineStr">
        <is>
          <t>Q038</t>
        </is>
      </c>
      <c r="B187" s="2" t="n">
        <v>1</v>
      </c>
      <c r="C187" s="2" t="inlineStr">
        <is>
          <t>DHS_001</t>
        </is>
      </c>
      <c r="D187" s="2" t="inlineStr">
        <is>
          <t>Notice Regarding the Uyghur Forced Labor Prevention Act Entity List（UFLPA 实体清单更新公告）</t>
        </is>
      </c>
      <c r="E187" s="2" t="inlineStr">
        <is>
          <t>劳工</t>
        </is>
      </c>
      <c r="F187" s="2" t="inlineStr">
        <is>
          <t>S</t>
        </is>
      </c>
      <c r="G187" s="2" t="n">
        <v>2</v>
      </c>
      <c r="H187" s="2" t="n">
        <v>2</v>
      </c>
      <c r="I187" s="3" t="n">
        <v>2</v>
      </c>
      <c r="J187" s="3" t="n">
        <v>2</v>
      </c>
      <c r="K187" s="2" t="inlineStr">
        <is>
          <t>本题 expected 证据：UFLPA 实体清单的可反驳推定直接限制电池材料供应商选择</t>
        </is>
      </c>
      <c r="L187" s="2" t="inlineStr">
        <is>
          <t>美国国土安全部（DHS，Federal Register）</t>
        </is>
      </c>
      <c r="M187" s="2" t="inlineStr">
        <is>
          <t>Policy / Trade Risk</t>
        </is>
      </c>
      <c r="N187" s="2" t="inlineStr">
        <is>
          <t>labor</t>
        </is>
      </c>
      <c r="O187" s="2" t="inlineStr">
        <is>
          <t>DHS_001</t>
        </is>
      </c>
      <c r="P187" s="2" t="inlineStr">
        <is>
          <t>电池材料出口到美国时，哪些强迫劳动合规要求会直接限制我们的供应商选择？</t>
        </is>
      </c>
      <c r="Q187"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8">
      <c r="A188" s="2" t="inlineStr">
        <is>
          <t>Q038</t>
        </is>
      </c>
      <c r="B188" s="2" t="n">
        <v>2</v>
      </c>
      <c r="C188" s="2" t="inlineStr">
        <is>
          <t>IRS_001</t>
        </is>
      </c>
      <c r="D188" s="2" t="inlineStr">
        <is>
          <t>Clean Vehicle Credits Under Sections 25E and 30D; Transfer of Credits; Critical Minerals and Battery Components; Foreign Entities of Concern（清洁车辆抵免与FEOC最终规则）</t>
        </is>
      </c>
      <c r="E188" s="2" t="inlineStr">
        <is>
          <t>本地化政策</t>
        </is>
      </c>
      <c r="F188" s="2" t="inlineStr">
        <is>
          <t>S</t>
        </is>
      </c>
      <c r="G188" s="2" t="n">
        <v>0</v>
      </c>
      <c r="H188" s="2" t="n">
        <v>2</v>
      </c>
      <c r="I188" s="3" t="n">
        <v>1</v>
      </c>
      <c r="J188" s="3" t="n">
        <v>2</v>
      </c>
      <c r="K188" s="2" t="inlineStr">
        <is>
          <t>IRA FEOC 规则以‘外国关注实体’限制电池组件/关键矿物资格，属同类合规约束 ｜ 人工判定与Auto(0)不同，请复核</t>
        </is>
      </c>
      <c r="L188" s="2" t="inlineStr">
        <is>
          <t>美国财政部/国税局（Federal Register）</t>
        </is>
      </c>
      <c r="M188" s="2" t="inlineStr">
        <is>
          <t>Policy / Trade Risk</t>
        </is>
      </c>
      <c r="N188" s="2" t="inlineStr">
        <is>
          <t>labor</t>
        </is>
      </c>
      <c r="O188" s="2" t="inlineStr">
        <is>
          <t>DHS_001</t>
        </is>
      </c>
      <c r="P188" s="2" t="inlineStr">
        <is>
          <t>电池材料出口到美国时，哪些强迫劳动合规要求会直接限制我们的供应商选择？</t>
        </is>
      </c>
      <c r="Q188"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89">
      <c r="A189" s="2" t="inlineStr">
        <is>
          <t>Q038</t>
        </is>
      </c>
      <c r="B189" s="2" t="n">
        <v>3</v>
      </c>
      <c r="C189" s="2" t="inlineStr">
        <is>
          <t>EU_001</t>
        </is>
      </c>
      <c r="D189" s="2" t="inlineStr">
        <is>
          <t>Regulation (EU) 2023/1542 concerning batteries and waste batteries（欧盟电池与废电池法规）</t>
        </is>
      </c>
      <c r="E189" s="2" t="inlineStr">
        <is>
          <t>市场准入</t>
        </is>
      </c>
      <c r="F189" s="2" t="inlineStr">
        <is>
          <t>S</t>
        </is>
      </c>
      <c r="G189" s="2" t="n">
        <v>0</v>
      </c>
      <c r="H189" s="2" t="n">
        <v>2</v>
      </c>
      <c r="I189" s="3" t="n">
        <v>1</v>
      </c>
      <c r="J189" s="3" t="n">
        <v>2</v>
      </c>
      <c r="K189" s="2" t="inlineStr">
        <is>
          <t>欧盟电池法规的供应链尽职调查义务，属同类合规要求（欧盟侧） ｜ 人工判定与Auto(0)不同，请复核</t>
        </is>
      </c>
      <c r="L189" s="2" t="inlineStr">
        <is>
          <t>欧洲议会与欧盟理事会（EUR-Lex / Official Journal）</t>
        </is>
      </c>
      <c r="M189" s="2" t="inlineStr">
        <is>
          <t>Policy / Trade Risk</t>
        </is>
      </c>
      <c r="N189" s="2" t="inlineStr">
        <is>
          <t>labor</t>
        </is>
      </c>
      <c r="O189" s="2" t="inlineStr">
        <is>
          <t>DHS_001</t>
        </is>
      </c>
      <c r="P189" s="2" t="inlineStr">
        <is>
          <t>电池材料出口到美国时，哪些强迫劳动合规要求会直接限制我们的供应商选择？</t>
        </is>
      </c>
      <c r="Q189"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90">
      <c r="A190" s="2" t="inlineStr">
        <is>
          <t>Q038</t>
        </is>
      </c>
      <c r="B190" s="2" t="n">
        <v>4</v>
      </c>
      <c r="C190" s="2" t="inlineStr">
        <is>
          <t>SNE_001</t>
        </is>
      </c>
      <c r="D190" s="2" t="inlineStr">
        <is>
          <t>January-August 2026 Global EV Battery Usage Reaches 844.2 GWh, Up 19.7% Year-on-Year（2026年1–8月全球动力电池装车量快报）</t>
        </is>
      </c>
      <c r="E190" s="2" t="inlineStr">
        <is>
          <t>供应链布局</t>
        </is>
      </c>
      <c r="F190" s="2" t="inlineStr">
        <is>
          <t>B</t>
        </is>
      </c>
      <c r="G190" s="2" t="n">
        <v>1</v>
      </c>
      <c r="H190" s="2" t="n">
        <v>1</v>
      </c>
      <c r="I190" s="3" t="n">
        <v>0</v>
      </c>
      <c r="J190" s="3" t="n">
        <v>1</v>
      </c>
      <c r="K190" s="2" t="inlineStr">
        <is>
          <t>电池市场数据与强迫劳动合规无关 ｜ 人工判定与Auto(1)不同，请复核</t>
        </is>
      </c>
      <c r="L190" s="2" t="inlineStr">
        <is>
          <t>SNE Research</t>
        </is>
      </c>
      <c r="M190" s="2" t="inlineStr">
        <is>
          <t>Policy / Trade Risk</t>
        </is>
      </c>
      <c r="N190" s="2" t="inlineStr">
        <is>
          <t>labor</t>
        </is>
      </c>
      <c r="O190" s="2" t="inlineStr">
        <is>
          <t>DHS_001</t>
        </is>
      </c>
      <c r="P190" s="2" t="inlineStr">
        <is>
          <t>电池材料出口到美国时，哪些强迫劳动合规要求会直接限制我们的供应商选择？</t>
        </is>
      </c>
      <c r="Q19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1">
      <c r="A191" s="2" t="inlineStr">
        <is>
          <t>Q038</t>
        </is>
      </c>
      <c r="B191" s="2" t="n">
        <v>5</v>
      </c>
      <c r="C191" s="2" t="inlineStr">
        <is>
          <t>MOFCOM_002</t>
        </is>
      </c>
      <c r="D191" s="2" t="inlineStr">
        <is>
          <t>商务部公告2025年第72号（暂停实施2024年第46号公告第二款，涉及对美两用物项出口管制）</t>
        </is>
      </c>
      <c r="E191" s="2" t="inlineStr">
        <is>
          <t>出口管制</t>
        </is>
      </c>
      <c r="F191" s="2" t="inlineStr">
        <is>
          <t>S</t>
        </is>
      </c>
      <c r="G191" s="2" t="n">
        <v>0</v>
      </c>
      <c r="H191" s="2" t="n">
        <v>2</v>
      </c>
      <c r="I191" s="3" t="n">
        <v>0</v>
      </c>
      <c r="J191" s="3" t="n">
        <v>2</v>
      </c>
      <c r="K191" s="2" t="inlineStr">
        <is>
          <t>中国侧两用物项出口管制公告，与美方强迫劳动合规（UFLPA/DHS）无关，属跨辖区跨主题噪声</t>
        </is>
      </c>
      <c r="L191" s="2" t="inlineStr">
        <is>
          <t>商务部</t>
        </is>
      </c>
      <c r="M191" s="2" t="inlineStr">
        <is>
          <t>Policy / Trade Risk</t>
        </is>
      </c>
      <c r="N191" s="2" t="inlineStr">
        <is>
          <t>labor</t>
        </is>
      </c>
      <c r="O191" s="2" t="inlineStr">
        <is>
          <t>DHS_001</t>
        </is>
      </c>
      <c r="P191" s="2" t="inlineStr">
        <is>
          <t>电池材料出口到美国时，哪些强迫劳动合规要求会直接限制我们的供应商选择？</t>
        </is>
      </c>
      <c r="Q19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192">
      <c r="A192" s="2" t="inlineStr">
        <is>
          <t>Q039</t>
        </is>
      </c>
      <c r="B192" s="2" t="n">
        <v>1</v>
      </c>
      <c r="C192" s="2" t="inlineStr">
        <is>
          <t>SNE_001</t>
        </is>
      </c>
      <c r="D192" s="2" t="inlineStr">
        <is>
          <t>January-August 2026 Global EV Battery Usage Reaches 844.2 GWh, Up 19.7% Year-on-Year（2026年1–8月全球动力电池装车量快报）</t>
        </is>
      </c>
      <c r="E192" s="2" t="inlineStr">
        <is>
          <t>供应链布局</t>
        </is>
      </c>
      <c r="F192" s="2" t="inlineStr">
        <is>
          <t>B</t>
        </is>
      </c>
      <c r="G192" s="2" t="n">
        <v>2</v>
      </c>
      <c r="H192" s="2" t="n">
        <v>1</v>
      </c>
      <c r="I192" s="3" t="n">
        <v>2</v>
      </c>
      <c r="J192" s="3" t="n">
        <v>1</v>
      </c>
      <c r="K192" s="2" t="inlineStr">
        <is>
          <t>本题 expected 证据：1–8 月装车量 844.2GWh、宁德时代 39.4%、中国七家合计 73.3%，直接量化集中度</t>
        </is>
      </c>
      <c r="L192" s="2" t="inlineStr">
        <is>
          <t>SNE Research</t>
        </is>
      </c>
      <c r="M192" s="2" t="inlineStr">
        <is>
          <t>Supply Chain Risk</t>
        </is>
      </c>
      <c r="N192" s="2" t="inlineStr">
        <is>
          <t>supply_chain</t>
        </is>
      </c>
      <c r="O192" s="2" t="inlineStr">
        <is>
          <t>SNE_001; IEA_001</t>
        </is>
      </c>
      <c r="P192" s="2" t="inlineStr">
        <is>
          <t>全球动力电池供给的集中度到底有多高？有没有最新数据说明中国供应商的份额？</t>
        </is>
      </c>
      <c r="Q192"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3">
      <c r="A193" s="2" t="inlineStr">
        <is>
          <t>Q039</t>
        </is>
      </c>
      <c r="B193" s="2" t="n">
        <v>2</v>
      </c>
      <c r="C193" s="2" t="inlineStr">
        <is>
          <t>DHS_001</t>
        </is>
      </c>
      <c r="D193" s="2" t="inlineStr">
        <is>
          <t>Notice Regarding the Uyghur Forced Labor Prevention Act Entity List（UFLPA 实体清单更新公告）</t>
        </is>
      </c>
      <c r="E193" s="2" t="inlineStr">
        <is>
          <t>劳工</t>
        </is>
      </c>
      <c r="F193" s="2" t="inlineStr">
        <is>
          <t>S</t>
        </is>
      </c>
      <c r="G193" s="2" t="n">
        <v>0</v>
      </c>
      <c r="H193" s="2" t="n">
        <v>2</v>
      </c>
      <c r="I193" s="3" t="n">
        <v>0</v>
      </c>
      <c r="J193" s="3" t="n">
        <v>2</v>
      </c>
      <c r="K193" s="2" t="inlineStr">
        <is>
          <t>强迫劳动清单不提供供给集中度数据</t>
        </is>
      </c>
      <c r="L193" s="2" t="inlineStr">
        <is>
          <t>美国国土安全部（DHS，Federal Register）</t>
        </is>
      </c>
      <c r="M193" s="2" t="inlineStr">
        <is>
          <t>Supply Chain Risk</t>
        </is>
      </c>
      <c r="N193" s="2" t="inlineStr">
        <is>
          <t>supply_chain</t>
        </is>
      </c>
      <c r="O193" s="2" t="inlineStr">
        <is>
          <t>SNE_001; IEA_001</t>
        </is>
      </c>
      <c r="P193" s="2" t="inlineStr">
        <is>
          <t>全球动力电池供给的集中度到底有多高？有没有最新数据说明中国供应商的份额？</t>
        </is>
      </c>
      <c r="Q19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94">
      <c r="A194" s="2" t="inlineStr">
        <is>
          <t>Q039</t>
        </is>
      </c>
      <c r="B194" s="2" t="n">
        <v>3</v>
      </c>
      <c r="C194" s="2" t="inlineStr">
        <is>
          <t>TRD_001</t>
        </is>
      </c>
      <c r="D194" s="2" t="inlineStr">
        <is>
          <t>美国自中国、越南、泰国、马来西亚进口 HS 870380, 850760，2018–2025年度</t>
        </is>
      </c>
      <c r="E194" s="2" t="inlineStr">
        <is>
          <t>贸易流</t>
        </is>
      </c>
      <c r="F194" s="2" t="inlineStr">
        <is>
          <t>A+</t>
        </is>
      </c>
      <c r="G194" s="2" t="n">
        <v>1</v>
      </c>
      <c r="H194" s="2" t="n">
        <v>2</v>
      </c>
      <c r="I194" s="3" t="n">
        <v>1</v>
      </c>
      <c r="J194" s="3" t="n">
        <v>2</v>
      </c>
      <c r="K194" s="2" t="inlineStr">
        <is>
          <t>美国自中/越/泰/马进口 EV(870380) 与锂电池(850760) 数据，可部分反映电池供给来源集中度（美国市场口径），但不提供全球份额</t>
        </is>
      </c>
      <c r="L194" s="2" t="inlineStr">
        <is>
          <t>联合国商品贸易统计数据库（UN Comtrade）</t>
        </is>
      </c>
      <c r="M194" s="2" t="inlineStr">
        <is>
          <t>Supply Chain Risk</t>
        </is>
      </c>
      <c r="N194" s="2" t="inlineStr">
        <is>
          <t>supply_chain</t>
        </is>
      </c>
      <c r="O194" s="2" t="inlineStr">
        <is>
          <t>SNE_001; IEA_001</t>
        </is>
      </c>
      <c r="P194" s="2" t="inlineStr">
        <is>
          <t>全球动力电池供给的集中度到底有多高？有没有最新数据说明中国供应商的份额？</t>
        </is>
      </c>
      <c r="Q194"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95">
      <c r="A195" s="2" t="inlineStr">
        <is>
          <t>Q039</t>
        </is>
      </c>
      <c r="B195" s="2" t="n">
        <v>4</v>
      </c>
      <c r="C195" s="2" t="inlineStr">
        <is>
          <t>EU_003</t>
        </is>
      </c>
      <c r="D195" s="2" t="inlineStr">
        <is>
          <t>Commission Implementing Regulation (EU) 2024/2754 imposing a definitive countervailing duty on imports of new battery electric vehicles originating in China（对华纯电动车最终反补贴税）</t>
        </is>
      </c>
      <c r="E195" s="2" t="inlineStr">
        <is>
          <t>关税</t>
        </is>
      </c>
      <c r="F195" s="2" t="inlineStr">
        <is>
          <t>S</t>
        </is>
      </c>
      <c r="G195" s="2" t="n">
        <v>0</v>
      </c>
      <c r="H195" s="2" t="n">
        <v>2</v>
      </c>
      <c r="I195" s="3" t="n">
        <v>0</v>
      </c>
      <c r="J195" s="3" t="n">
        <v>2</v>
      </c>
      <c r="K195" s="2" t="inlineStr">
        <is>
          <t>欧盟反补贴税属政策回应，不含集中度数据</t>
        </is>
      </c>
      <c r="L195" s="2" t="inlineStr">
        <is>
          <t>欧盟委员会（EUR-Lex / Official Journal）</t>
        </is>
      </c>
      <c r="M195" s="2" t="inlineStr">
        <is>
          <t>Supply Chain Risk</t>
        </is>
      </c>
      <c r="N195" s="2" t="inlineStr">
        <is>
          <t>supply_chain</t>
        </is>
      </c>
      <c r="O195" s="2" t="inlineStr">
        <is>
          <t>SNE_001; IEA_001</t>
        </is>
      </c>
      <c r="P195" s="2" t="inlineStr">
        <is>
          <t>全球动力电池供给的集中度到底有多高？有没有最新数据说明中国供应商的份额？</t>
        </is>
      </c>
      <c r="Q195"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96">
      <c r="A196" s="2" t="inlineStr">
        <is>
          <t>Q039</t>
        </is>
      </c>
      <c r="B196" s="2" t="n">
        <v>5</v>
      </c>
      <c r="C196" s="2" t="inlineStr">
        <is>
          <t>IRS_001</t>
        </is>
      </c>
      <c r="D196" s="2" t="inlineStr">
        <is>
          <t>Clean Vehicle Credits Under Sections 25E and 30D; Transfer of Credits; Critical Minerals and Battery Components; Foreign Entities of Concern（清洁车辆抵免与FEOC最终规则）</t>
        </is>
      </c>
      <c r="E196" s="2" t="inlineStr">
        <is>
          <t>本地化政策</t>
        </is>
      </c>
      <c r="F196" s="2" t="inlineStr">
        <is>
          <t>S</t>
        </is>
      </c>
      <c r="G196" s="2" t="n">
        <v>0</v>
      </c>
      <c r="H196" s="2" t="n">
        <v>2</v>
      </c>
      <c r="I196" s="3" t="n">
        <v>0</v>
      </c>
      <c r="J196" s="3" t="n">
        <v>2</v>
      </c>
      <c r="K196" s="2" t="inlineStr">
        <is>
          <t>IRA FEOC 规则属政策回应，不含集中度数据</t>
        </is>
      </c>
      <c r="L196" s="2" t="inlineStr">
        <is>
          <t>美国财政部/国税局（Federal Register）</t>
        </is>
      </c>
      <c r="M196" s="2" t="inlineStr">
        <is>
          <t>Supply Chain Risk</t>
        </is>
      </c>
      <c r="N196" s="2" t="inlineStr">
        <is>
          <t>supply_chain</t>
        </is>
      </c>
      <c r="O196" s="2" t="inlineStr">
        <is>
          <t>SNE_001; IEA_001</t>
        </is>
      </c>
      <c r="P196" s="2" t="inlineStr">
        <is>
          <t>全球动力电池供给的集中度到底有多高？有没有最新数据说明中国供应商的份额？</t>
        </is>
      </c>
      <c r="Q196"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97">
      <c r="A197" s="2" t="inlineStr">
        <is>
          <t>Q040</t>
        </is>
      </c>
      <c r="B197" s="2" t="n">
        <v>1</v>
      </c>
      <c r="C197" s="2" t="inlineStr">
        <is>
          <t>USMCA_001</t>
        </is>
      </c>
      <c r="D197" s="2" t="inlineStr">
        <is>
          <t>USMCA Chapter 4: Rules of Origin（美墨加协定第4章原产地规则）</t>
        </is>
      </c>
      <c r="E197" s="2" t="inlineStr">
        <is>
          <t>原产地与转运</t>
        </is>
      </c>
      <c r="F197" s="2" t="inlineStr">
        <is>
          <t>S</t>
        </is>
      </c>
      <c r="G197" s="2" t="n">
        <v>2</v>
      </c>
      <c r="H197" s="2" t="n">
        <v>2</v>
      </c>
      <c r="I197" s="3" t="n">
        <v>2</v>
      </c>
      <c r="J197" s="3" t="n">
        <v>2</v>
      </c>
      <c r="K197" s="2" t="inlineStr">
        <is>
          <t>本题 expected 证据：墨西哥侧的原产地成分门槛（原产地门槛维度）</t>
        </is>
      </c>
      <c r="L197" s="2" t="inlineStr">
        <is>
          <t>美国贸易代表办公室（USTR）</t>
        </is>
      </c>
      <c r="M197" s="2" t="inlineStr">
        <is>
          <t>Scenario Simulation Support</t>
        </is>
      </c>
      <c r="N197" s="2" t="inlineStr">
        <is>
          <t>supply_chain</t>
        </is>
      </c>
      <c r="O197" s="2" t="inlineStr">
        <is>
          <t>USMCA_001; WTO_004; WB_001</t>
        </is>
      </c>
      <c r="P197" s="2" t="inlineStr">
        <is>
          <t>董事会要在「保留中国产能」「迁往墨西哥」「迁往印尼」之间取舍，现有证据分别能支撑哪些关键判断（原产地门槛、本地含量要求、物流成本）？</t>
        </is>
      </c>
      <c r="Q19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98">
      <c r="A198" s="2" t="inlineStr">
        <is>
          <t>Q040</t>
        </is>
      </c>
      <c r="B198" s="2" t="n">
        <v>2</v>
      </c>
      <c r="C198" s="2" t="inlineStr">
        <is>
          <t>WB_001</t>
        </is>
      </c>
      <c r="D198" s="2" t="inlineStr">
        <is>
          <t>Connecting to Compete 2023: Trade Logistics in an Uncertain Global Economy（2023年物流绩效指数报告）</t>
        </is>
      </c>
      <c r="E198" s="2" t="inlineStr">
        <is>
          <t>物流</t>
        </is>
      </c>
      <c r="F198" s="2" t="inlineStr">
        <is>
          <t>A+</t>
        </is>
      </c>
      <c r="G198" s="2" t="n">
        <v>2</v>
      </c>
      <c r="H198" s="2" t="n">
        <v>2</v>
      </c>
      <c r="I198" s="3" t="n">
        <v>2</v>
      </c>
      <c r="J198" s="3" t="n">
        <v>2</v>
      </c>
      <c r="K198" s="2" t="inlineStr">
        <is>
          <t>本题 expected 证据：中国/越南/印尼/墨西哥物流与海关评分（物流成本维度）</t>
        </is>
      </c>
      <c r="L198" s="2" t="inlineStr">
        <is>
          <t>世界银行（World Bank）</t>
        </is>
      </c>
      <c r="M198" s="2" t="inlineStr">
        <is>
          <t>Scenario Simulation Support</t>
        </is>
      </c>
      <c r="N198" s="2" t="inlineStr">
        <is>
          <t>supply_chain</t>
        </is>
      </c>
      <c r="O198" s="2" t="inlineStr">
        <is>
          <t>USMCA_001; WTO_004; WB_001</t>
        </is>
      </c>
      <c r="P198" s="2" t="inlineStr">
        <is>
          <t>董事会要在「保留中国产能」「迁往墨西哥」「迁往印尼」之间取舍，现有证据分别能支撑哪些关键判断（原产地门槛、本地含量要求、物流成本）？</t>
        </is>
      </c>
      <c r="Q198"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99">
      <c r="A199" s="2" t="inlineStr">
        <is>
          <t>Q040</t>
        </is>
      </c>
      <c r="B199" s="2" t="n">
        <v>3</v>
      </c>
      <c r="C199" s="2" t="inlineStr">
        <is>
          <t>IRS_001</t>
        </is>
      </c>
      <c r="D199" s="2" t="inlineStr">
        <is>
          <t>Clean Vehicle Credits Under Sections 25E and 30D; Transfer of Credits; Critical Minerals and Battery Components; Foreign Entities of Concern（清洁车辆抵免与FEOC最终规则）</t>
        </is>
      </c>
      <c r="E199" s="2" t="inlineStr">
        <is>
          <t>本地化政策</t>
        </is>
      </c>
      <c r="F199" s="2" t="inlineStr">
        <is>
          <t>S</t>
        </is>
      </c>
      <c r="G199" s="2" t="n">
        <v>0</v>
      </c>
      <c r="H199" s="2" t="n">
        <v>2</v>
      </c>
      <c r="I199" s="3" t="n">
        <v>1</v>
      </c>
      <c r="J199" s="3" t="n">
        <v>2</v>
      </c>
      <c r="K199" s="2" t="inlineStr">
        <is>
          <t>美国 IRA 本地含量规则可作为‘迁往墨西哥后仍受美国内容门槛约束’的补充约束 ｜ 人工判定与Auto(0)不同，请复核</t>
        </is>
      </c>
      <c r="L199" s="2" t="inlineStr">
        <is>
          <t>美国财政部/国税局（Federal Register）</t>
        </is>
      </c>
      <c r="M199" s="2" t="inlineStr">
        <is>
          <t>Scenario Simulation Support</t>
        </is>
      </c>
      <c r="N199" s="2" t="inlineStr">
        <is>
          <t>supply_chain</t>
        </is>
      </c>
      <c r="O199" s="2" t="inlineStr">
        <is>
          <t>USMCA_001; WTO_004; WB_001</t>
        </is>
      </c>
      <c r="P199" s="2" t="inlineStr">
        <is>
          <t>董事会要在「保留中国产能」「迁往墨西哥」「迁往印尼」之间取舍，现有证据分别能支撑哪些关键判断（原产地门槛、本地含量要求、物流成本）？</t>
        </is>
      </c>
      <c r="Q199"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200">
      <c r="A200" s="2" t="inlineStr">
        <is>
          <t>Q040</t>
        </is>
      </c>
      <c r="B200" s="2" t="n">
        <v>4</v>
      </c>
      <c r="C200" s="2" t="inlineStr">
        <is>
          <t>CASE_002</t>
        </is>
      </c>
      <c r="D200" s="2" t="inlineStr">
        <is>
          <t>美国对东南亚四国光伏产品反规避认定：视为中国原产并适用对华双反</t>
        </is>
      </c>
      <c r="E200" s="2" t="inlineStr">
        <is>
          <t>反规避</t>
        </is>
      </c>
      <c r="F200" s="2" t="inlineStr">
        <is>
          <t>S</t>
        </is>
      </c>
      <c r="G200" s="2" t="n">
        <v>0</v>
      </c>
      <c r="H200" s="2" t="n">
        <v>2</v>
      </c>
      <c r="I200" s="3" t="n">
        <v>0</v>
      </c>
      <c r="J200" s="3" t="n">
        <v>2</v>
      </c>
      <c r="K200" s="2" t="inlineStr">
        <is>
          <t>光伏反规避判例与本题三个维度的取舍无关</t>
        </is>
      </c>
      <c r="L200" s="2" t="inlineStr">
        <is>
          <t>美国商务部（经律所解读）</t>
        </is>
      </c>
      <c r="M200" s="2" t="inlineStr">
        <is>
          <t>Scenario Simulation Support</t>
        </is>
      </c>
      <c r="N200" s="2" t="inlineStr">
        <is>
          <t>supply_chain</t>
        </is>
      </c>
      <c r="O200" s="2" t="inlineStr">
        <is>
          <t>USMCA_001; WTO_004; WB_001</t>
        </is>
      </c>
      <c r="P200" s="2" t="inlineStr">
        <is>
          <t>董事会要在「保留中国产能」「迁往墨西哥」「迁往印尼」之间取舍，现有证据分别能支撑哪些关键判断（原产地门槛、本地含量要求、物流成本）？</t>
        </is>
      </c>
      <c r="Q20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1">
      <c r="A201" s="2" t="inlineStr">
        <is>
          <t>Q040</t>
        </is>
      </c>
      <c r="B201" s="2" t="n">
        <v>5</v>
      </c>
      <c r="C201" s="2" t="inlineStr">
        <is>
          <t>WTO_004</t>
        </is>
      </c>
      <c r="D201" s="2" t="inlineStr">
        <is>
          <t>Trade Policy Review: Report by the Secretariat — Indonesia（WT/TPR/S/401）印尼第七次贸易政策审议秘书处报告</t>
        </is>
      </c>
      <c r="E201" s="2" t="inlineStr">
        <is>
          <t>本地化政策</t>
        </is>
      </c>
      <c r="F201" s="2" t="inlineStr">
        <is>
          <t>A+</t>
        </is>
      </c>
      <c r="G201" s="2" t="n">
        <v>2</v>
      </c>
      <c r="H201" s="2" t="n">
        <v>2</v>
      </c>
      <c r="I201" s="3" t="n">
        <v>2</v>
      </c>
      <c r="J201" s="3" t="n">
        <v>2</v>
      </c>
      <c r="K201" s="2" t="inlineStr">
        <is>
          <t>本题 expected 证据：印尼 TKDN 本地含量与下游化要求（本地含量维度）</t>
        </is>
      </c>
      <c r="L201" s="2" t="inlineStr">
        <is>
          <t>世界贸易组织（WTO）</t>
        </is>
      </c>
      <c r="M201" s="2" t="inlineStr">
        <is>
          <t>Scenario Simulation Support</t>
        </is>
      </c>
      <c r="N201" s="2" t="inlineStr">
        <is>
          <t>supply_chain</t>
        </is>
      </c>
      <c r="O201" s="2" t="inlineStr">
        <is>
          <t>USMCA_001; WTO_004; WB_001</t>
        </is>
      </c>
      <c r="P201" s="2" t="inlineStr">
        <is>
          <t>董事会要在「保留中国产能」「迁往墨西哥」「迁往印尼」之间取舍，现有证据分别能支撑哪些关键判断（原产地门槛、本地含量要求、物流成本）？</t>
        </is>
      </c>
      <c r="Q201"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202">
      <c r="A202" s="2" t="inlineStr">
        <is>
          <t>Q041</t>
        </is>
      </c>
      <c r="B202" s="2" t="n">
        <v>1</v>
      </c>
      <c r="C202" s="2" t="inlineStr">
        <is>
          <t>EU_001</t>
        </is>
      </c>
      <c r="D202" s="2" t="inlineStr">
        <is>
          <t>Regulation (EU) 2023/1542 concerning batteries and waste batteries（欧盟电池与废电池法规）</t>
        </is>
      </c>
      <c r="E202" s="2" t="inlineStr">
        <is>
          <t>市场准入</t>
        </is>
      </c>
      <c r="F202" s="2" t="inlineStr">
        <is>
          <t>S</t>
        </is>
      </c>
      <c r="G202" s="2" t="n">
        <v>2</v>
      </c>
      <c r="H202" s="2" t="n">
        <v>2</v>
      </c>
      <c r="I202" s="3" t="n">
        <v>2</v>
      </c>
      <c r="J202" s="3" t="n">
        <v>2</v>
      </c>
      <c r="K202" s="2" t="inlineStr">
        <is>
          <t>本题 expected 证据：欧盟电池法规第 7/9/77 条（碳足迹、再生材料含量、尽职调查、电池护照）</t>
        </is>
      </c>
      <c r="L202" s="2" t="inlineStr">
        <is>
          <t>欧洲议会与欧盟理事会（EUR-Lex / Official Journal）</t>
        </is>
      </c>
      <c r="M202" s="2" t="inlineStr">
        <is>
          <t>Market Access</t>
        </is>
      </c>
      <c r="N202" s="2" t="inlineStr">
        <is>
          <t>market_access</t>
        </is>
      </c>
      <c r="O202" s="2" t="inlineStr">
        <is>
          <t>EU_001</t>
        </is>
      </c>
      <c r="P202" s="2" t="inlineStr">
        <is>
          <t>我们准备向欧盟出口 EV 电池。欧盟电池法规对进入欧盟市场的电池提出了哪些强制合规要求（碳足迹、再生材料含量、供应链尽职调查、电池护照）？</t>
        </is>
      </c>
      <c r="Q202"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03">
      <c r="A203" s="2" t="inlineStr">
        <is>
          <t>Q041</t>
        </is>
      </c>
      <c r="B203" s="2" t="n">
        <v>2</v>
      </c>
      <c r="C203" s="2" t="inlineStr">
        <is>
          <t>DHS_001</t>
        </is>
      </c>
      <c r="D203" s="2" t="inlineStr">
        <is>
          <t>Notice Regarding the Uyghur Forced Labor Prevention Act Entity List（UFLPA 实体清单更新公告）</t>
        </is>
      </c>
      <c r="E203" s="2" t="inlineStr">
        <is>
          <t>劳工</t>
        </is>
      </c>
      <c r="F203" s="2" t="inlineStr">
        <is>
          <t>S</t>
        </is>
      </c>
      <c r="G203" s="2" t="n">
        <v>0</v>
      </c>
      <c r="H203" s="2" t="n">
        <v>2</v>
      </c>
      <c r="I203" s="3" t="n">
        <v>0</v>
      </c>
      <c r="J203" s="3" t="n">
        <v>2</v>
      </c>
      <c r="K203" s="2" t="inlineStr">
        <is>
          <t>美国 UFLPA 进口限制与欧盟电池合规要求属不同辖区/不同域</t>
        </is>
      </c>
      <c r="L203" s="2" t="inlineStr">
        <is>
          <t>美国国土安全部（DHS，Federal Register）</t>
        </is>
      </c>
      <c r="M203" s="2" t="inlineStr">
        <is>
          <t>Market Access</t>
        </is>
      </c>
      <c r="N203" s="2" t="inlineStr">
        <is>
          <t>market_access</t>
        </is>
      </c>
      <c r="O203" s="2" t="inlineStr">
        <is>
          <t>EU_001</t>
        </is>
      </c>
      <c r="P203" s="2" t="inlineStr">
        <is>
          <t>我们准备向欧盟出口 EV 电池。欧盟电池法规对进入欧盟市场的电池提出了哪些强制合规要求（碳足迹、再生材料含量、供应链尽职调查、电池护照）？</t>
        </is>
      </c>
      <c r="Q20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04">
      <c r="A204" s="2" t="inlineStr">
        <is>
          <t>Q041</t>
        </is>
      </c>
      <c r="B204" s="2" t="n">
        <v>3</v>
      </c>
      <c r="C204" s="2" t="inlineStr">
        <is>
          <t>EU_003</t>
        </is>
      </c>
      <c r="D204" s="2" t="inlineStr">
        <is>
          <t>Commission Implementing Regulation (EU) 2024/2754 imposing a definitive countervailing duty on imports of new battery electric vehicles originating in China（对华纯电动车最终反补贴税）</t>
        </is>
      </c>
      <c r="E204" s="2" t="inlineStr">
        <is>
          <t>关税</t>
        </is>
      </c>
      <c r="F204" s="2" t="inlineStr">
        <is>
          <t>S</t>
        </is>
      </c>
      <c r="G204" s="2" t="n">
        <v>0</v>
      </c>
      <c r="H204" s="2" t="n">
        <v>2</v>
      </c>
      <c r="I204" s="3" t="n">
        <v>1</v>
      </c>
      <c r="J204" s="3" t="n">
        <v>2</v>
      </c>
      <c r="K204" s="2" t="inlineStr">
        <is>
          <t>欧盟对华纯电反补贴税属同一辖区(EU)的市场准入措施，可作欧盟侧贸易壁垒背景，但不回答电池产品合规要求 ｜ 人工判定与Auto(0)不同，请复核</t>
        </is>
      </c>
      <c r="L204" s="2" t="inlineStr">
        <is>
          <t>欧盟委员会（EUR-Lex / Official Journal）</t>
        </is>
      </c>
      <c r="M204" s="2" t="inlineStr">
        <is>
          <t>Market Access</t>
        </is>
      </c>
      <c r="N204" s="2" t="inlineStr">
        <is>
          <t>market_access</t>
        </is>
      </c>
      <c r="O204" s="2" t="inlineStr">
        <is>
          <t>EU_001</t>
        </is>
      </c>
      <c r="P204" s="2" t="inlineStr">
        <is>
          <t>我们准备向欧盟出口 EV 电池。欧盟电池法规对进入欧盟市场的电池提出了哪些强制合规要求（碳足迹、再生材料含量、供应链尽职调查、电池护照）？</t>
        </is>
      </c>
      <c r="Q204"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5">
      <c r="A205" s="2" t="inlineStr">
        <is>
          <t>Q041</t>
        </is>
      </c>
      <c r="B205" s="2" t="n">
        <v>4</v>
      </c>
      <c r="C205" s="2" t="inlineStr">
        <is>
          <t>CSIS_001</t>
        </is>
      </c>
      <c r="D205" s="2" t="inlineStr">
        <is>
          <t>The Visibility Gap: How AI Can Stop Chinese Transshipment Under USMCA</t>
        </is>
      </c>
      <c r="E205" s="2" t="inlineStr">
        <is>
          <t>原产地与转运</t>
        </is>
      </c>
      <c r="F205" s="2" t="inlineStr">
        <is>
          <t>A</t>
        </is>
      </c>
      <c r="G205" s="2" t="n">
        <v>1</v>
      </c>
      <c r="H205" s="2" t="n">
        <v>2</v>
      </c>
      <c r="I205" s="3" t="n">
        <v>0</v>
      </c>
      <c r="J205" s="3" t="n">
        <v>2</v>
      </c>
      <c r="K205" s="2" t="inlineStr">
        <is>
          <t>转运可视化分析，与欧盟电池产品合规要求无关 ｜ 人工判定与Auto(1)不同，请复核</t>
        </is>
      </c>
      <c r="L205" s="2" t="inlineStr">
        <is>
          <t>战略与国际研究中心（CSIS）</t>
        </is>
      </c>
      <c r="M205" s="2" t="inlineStr">
        <is>
          <t>Market Access</t>
        </is>
      </c>
      <c r="N205" s="2" t="inlineStr">
        <is>
          <t>market_access</t>
        </is>
      </c>
      <c r="O205" s="2" t="inlineStr">
        <is>
          <t>EU_001</t>
        </is>
      </c>
      <c r="P205" s="2" t="inlineStr">
        <is>
          <t>我们准备向欧盟出口 EV 电池。欧盟电池法规对进入欧盟市场的电池提出了哪些强制合规要求（碳足迹、再生材料含量、供应链尽职调查、电池护照）？</t>
        </is>
      </c>
      <c r="Q205" s="2" t="inlineStr">
        <is>
          <t>The EV battery example shows the problem that a product passport is designed to solve. At its simplest, a product passport is a digital record that travels with a good through its supply chain, showing where its inputs came from and whether it qualiﬁes for preferential treatment</t>
        </is>
      </c>
    </row>
    <row r="206">
      <c r="A206" s="2" t="inlineStr">
        <is>
          <t>Q041</t>
        </is>
      </c>
      <c r="B206" s="2" t="n">
        <v>5</v>
      </c>
      <c r="C206" s="2" t="inlineStr">
        <is>
          <t>SNE_001</t>
        </is>
      </c>
      <c r="D206" s="2" t="inlineStr">
        <is>
          <t>January-August 2026 Global EV Battery Usage Reaches 844.2 GWh, Up 19.7% Year-on-Year（2026年1–8月全球动力电池装车量快报）</t>
        </is>
      </c>
      <c r="E206" s="2" t="inlineStr">
        <is>
          <t>供应链布局</t>
        </is>
      </c>
      <c r="F206" s="2" t="inlineStr">
        <is>
          <t>B</t>
        </is>
      </c>
      <c r="G206" s="2" t="n">
        <v>0</v>
      </c>
      <c r="H206" s="2" t="n">
        <v>1</v>
      </c>
      <c r="I206" s="3" t="n">
        <v>0</v>
      </c>
      <c r="J206" s="3" t="n">
        <v>1</v>
      </c>
      <c r="K206" s="2" t="inlineStr">
        <is>
          <t>电池装车量市场数据，不回答合规要求</t>
        </is>
      </c>
      <c r="L206" s="2" t="inlineStr">
        <is>
          <t>SNE Research</t>
        </is>
      </c>
      <c r="M206" s="2" t="inlineStr">
        <is>
          <t>Market Access</t>
        </is>
      </c>
      <c r="N206" s="2" t="inlineStr">
        <is>
          <t>market_access</t>
        </is>
      </c>
      <c r="O206" s="2" t="inlineStr">
        <is>
          <t>EU_001</t>
        </is>
      </c>
      <c r="P206" s="2" t="inlineStr">
        <is>
          <t>我们准备向欧盟出口 EV 电池。欧盟电池法规对进入欧盟市场的电池提出了哪些强制合规要求（碳足迹、再生材料含量、供应链尽职调查、电池护照）？</t>
        </is>
      </c>
      <c r="Q20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07">
      <c r="A207" s="2" t="inlineStr">
        <is>
          <t>Q042</t>
        </is>
      </c>
      <c r="B207" s="2" t="n">
        <v>1</v>
      </c>
      <c r="C207" s="2" t="inlineStr">
        <is>
          <t>EU_003</t>
        </is>
      </c>
      <c r="D207" s="2" t="inlineStr">
        <is>
          <t>Commission Implementing Regulation (EU) 2024/2754 imposing a definitive countervailing duty on imports of new battery electric vehicles originating in China（对华纯电动车最终反补贴税）</t>
        </is>
      </c>
      <c r="E207" s="2" t="inlineStr">
        <is>
          <t>关税</t>
        </is>
      </c>
      <c r="F207" s="2" t="inlineStr">
        <is>
          <t>S</t>
        </is>
      </c>
      <c r="G207" s="2" t="n">
        <v>2</v>
      </c>
      <c r="H207" s="2" t="n">
        <v>2</v>
      </c>
      <c r="I207" s="3" t="n">
        <v>2</v>
      </c>
      <c r="J207" s="3" t="n">
        <v>2</v>
      </c>
      <c r="K207" s="2" t="inlineStr">
        <is>
          <t>本题 expected 证据：欧盟对华纯电最终反补贴税税率（BYD 17.0% / Geely 18.8% / SAIC 35.3% / Tesla 7.8% 等）</t>
        </is>
      </c>
      <c r="L207" s="2" t="inlineStr">
        <is>
          <t>欧盟委员会（EUR-Lex / Official Journal）</t>
        </is>
      </c>
      <c r="M207" s="2" t="inlineStr">
        <is>
          <t>Policy / Trade Risk</t>
        </is>
      </c>
      <c r="N207" s="2" t="inlineStr">
        <is>
          <t>tariff</t>
        </is>
      </c>
      <c r="O207" s="2" t="inlineStr">
        <is>
          <t>EU_003</t>
        </is>
      </c>
      <c r="P207" s="2" t="inlineStr">
        <is>
          <t>欧盟对中国产纯电动车征收的最终反补贴税税率是多少？不同企业（比亚迪/吉利/上汽/特斯拉）的税率差异如何？</t>
        </is>
      </c>
      <c r="Q207"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8">
      <c r="A208" s="2" t="inlineStr">
        <is>
          <t>Q042</t>
        </is>
      </c>
      <c r="B208" s="2" t="n">
        <v>2</v>
      </c>
      <c r="C208" s="2" t="inlineStr">
        <is>
          <t>CASE_002</t>
        </is>
      </c>
      <c r="D208" s="2" t="inlineStr">
        <is>
          <t>美国对东南亚四国光伏产品反规避认定：视为中国原产并适用对华双反</t>
        </is>
      </c>
      <c r="E208" s="2" t="inlineStr">
        <is>
          <t>反规避</t>
        </is>
      </c>
      <c r="F208" s="2" t="inlineStr">
        <is>
          <t>S</t>
        </is>
      </c>
      <c r="G208" s="2" t="n">
        <v>0</v>
      </c>
      <c r="H208" s="2" t="n">
        <v>2</v>
      </c>
      <c r="I208" s="3" t="n">
        <v>0</v>
      </c>
      <c r="J208" s="3" t="n">
        <v>2</v>
      </c>
      <c r="K208" s="2" t="inlineStr">
        <is>
          <t>美国对东南亚光伏的反规避裁定，辖区与措施类型均不同</t>
        </is>
      </c>
      <c r="L208" s="2" t="inlineStr">
        <is>
          <t>美国商务部（经律所解读）</t>
        </is>
      </c>
      <c r="M208" s="2" t="inlineStr">
        <is>
          <t>Policy / Trade Risk</t>
        </is>
      </c>
      <c r="N208" s="2" t="inlineStr">
        <is>
          <t>tariff</t>
        </is>
      </c>
      <c r="O208" s="2" t="inlineStr">
        <is>
          <t>EU_003</t>
        </is>
      </c>
      <c r="P208" s="2" t="inlineStr">
        <is>
          <t>欧盟对中国产纯电动车征收的最终反补贴税税率是多少？不同企业（比亚迪/吉利/上汽/特斯拉）的税率差异如何？</t>
        </is>
      </c>
      <c r="Q20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9">
      <c r="A209" s="2" t="inlineStr">
        <is>
          <t>Q042</t>
        </is>
      </c>
      <c r="B209" s="2" t="n">
        <v>3</v>
      </c>
      <c r="C209" s="2" t="inlineStr">
        <is>
          <t>DHS_001</t>
        </is>
      </c>
      <c r="D209" s="2" t="inlineStr">
        <is>
          <t>Notice Regarding the Uyghur Forced Labor Prevention Act Entity List（UFLPA 实体清单更新公告）</t>
        </is>
      </c>
      <c r="E209" s="2" t="inlineStr">
        <is>
          <t>劳工</t>
        </is>
      </c>
      <c r="F209" s="2" t="inlineStr">
        <is>
          <t>S</t>
        </is>
      </c>
      <c r="G209" s="2" t="n">
        <v>0</v>
      </c>
      <c r="H209" s="2" t="n">
        <v>2</v>
      </c>
      <c r="I209" s="3" t="n">
        <v>0</v>
      </c>
      <c r="J209" s="3" t="n">
        <v>2</v>
      </c>
      <c r="K209" s="2" t="inlineStr">
        <is>
          <t>强迫劳动实体清单与欧盟反补贴税率无关</t>
        </is>
      </c>
      <c r="L209" s="2" t="inlineStr">
        <is>
          <t>美国国土安全部（DHS，Federal Register）</t>
        </is>
      </c>
      <c r="M209" s="2" t="inlineStr">
        <is>
          <t>Policy / Trade Risk</t>
        </is>
      </c>
      <c r="N209" s="2" t="inlineStr">
        <is>
          <t>tariff</t>
        </is>
      </c>
      <c r="O209" s="2" t="inlineStr">
        <is>
          <t>EU_003</t>
        </is>
      </c>
      <c r="P209" s="2" t="inlineStr">
        <is>
          <t>欧盟对中国产纯电动车征收的最终反补贴税税率是多少？不同企业（比亚迪/吉利/上汽/特斯拉）的税率差异如何？</t>
        </is>
      </c>
      <c r="Q20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0">
      <c r="A210" s="2" t="inlineStr">
        <is>
          <t>Q042</t>
        </is>
      </c>
      <c r="B210" s="2" t="n">
        <v>4</v>
      </c>
      <c r="C210" s="2" t="inlineStr">
        <is>
          <t>TRD_001</t>
        </is>
      </c>
      <c r="D210" s="2" t="inlineStr">
        <is>
          <t>美国自中国、越南、泰国、马来西亚进口 HS 870380, 850760，2018–2025年度</t>
        </is>
      </c>
      <c r="E210" s="2" t="inlineStr">
        <is>
          <t>贸易流</t>
        </is>
      </c>
      <c r="F210" s="2" t="inlineStr">
        <is>
          <t>A+</t>
        </is>
      </c>
      <c r="G210" s="2" t="n">
        <v>1</v>
      </c>
      <c r="H210" s="2" t="n">
        <v>2</v>
      </c>
      <c r="I210" s="3" t="n">
        <v>0</v>
      </c>
      <c r="J210" s="3" t="n">
        <v>2</v>
      </c>
      <c r="K210" s="2" t="inlineStr">
        <is>
          <t>美国 EV/锂电池进口数据，不含欧盟税率信息；作为跨辖区贸易流数据不可用于本题计算 ｜ 人工判定与Auto(1)不同，请复核</t>
        </is>
      </c>
      <c r="L210" s="2" t="inlineStr">
        <is>
          <t>联合国商品贸易统计数据库（UN Comtrade）</t>
        </is>
      </c>
      <c r="M210" s="2" t="inlineStr">
        <is>
          <t>Policy / Trade Risk</t>
        </is>
      </c>
      <c r="N210" s="2" t="inlineStr">
        <is>
          <t>tariff</t>
        </is>
      </c>
      <c r="O210" s="2" t="inlineStr">
        <is>
          <t>EU_003</t>
        </is>
      </c>
      <c r="P210" s="2" t="inlineStr">
        <is>
          <t>欧盟对中国产纯电动车征收的最终反补贴税税率是多少？不同企业（比亚迪/吉利/上汽/特斯拉）的税率差异如何？</t>
        </is>
      </c>
      <c r="Q210"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211">
      <c r="A211" s="2" t="inlineStr">
        <is>
          <t>Q042</t>
        </is>
      </c>
      <c r="B211" s="2" t="n">
        <v>5</v>
      </c>
      <c r="C211" s="2" t="inlineStr">
        <is>
          <t>SNE_001</t>
        </is>
      </c>
      <c r="D211" s="2" t="inlineStr">
        <is>
          <t>January-August 2026 Global EV Battery Usage Reaches 844.2 GWh, Up 19.7% Year-on-Year（2026年1–8月全球动力电池装车量快报）</t>
        </is>
      </c>
      <c r="E211" s="2" t="inlineStr">
        <is>
          <t>供应链布局</t>
        </is>
      </c>
      <c r="F211" s="2" t="inlineStr">
        <is>
          <t>B</t>
        </is>
      </c>
      <c r="G211" s="2" t="n">
        <v>0</v>
      </c>
      <c r="H211" s="2" t="n">
        <v>1</v>
      </c>
      <c r="I211" s="3" t="n">
        <v>0</v>
      </c>
      <c r="J211" s="3" t="n">
        <v>1</v>
      </c>
      <c r="K211" s="2" t="inlineStr">
        <is>
          <t>电池装车量数据与税率无关</t>
        </is>
      </c>
      <c r="L211" s="2" t="inlineStr">
        <is>
          <t>SNE Research</t>
        </is>
      </c>
      <c r="M211" s="2" t="inlineStr">
        <is>
          <t>Policy / Trade Risk</t>
        </is>
      </c>
      <c r="N211" s="2" t="inlineStr">
        <is>
          <t>tariff</t>
        </is>
      </c>
      <c r="O211" s="2" t="inlineStr">
        <is>
          <t>EU_003</t>
        </is>
      </c>
      <c r="P211" s="2" t="inlineStr">
        <is>
          <t>欧盟对中国产纯电动车征收的最终反补贴税税率是多少？不同企业（比亚迪/吉利/上汽/特斯拉）的税率差异如何？</t>
        </is>
      </c>
      <c r="Q211"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12">
      <c r="A212" s="2" t="inlineStr">
        <is>
          <t>Q043</t>
        </is>
      </c>
      <c r="B212" s="2" t="n">
        <v>1</v>
      </c>
      <c r="C212" s="2" t="inlineStr">
        <is>
          <t>EU_002</t>
        </is>
      </c>
      <c r="D212" s="2" t="inlineStr">
        <is>
          <t>Regulation (EU) 2024/1252 establishing a framework for ensuring a secure and sustainable supply of critical raw materials（欧盟关键原材料法案 CRMA）</t>
        </is>
      </c>
      <c r="E212" s="2" t="inlineStr">
        <is>
          <t>本地化政策</t>
        </is>
      </c>
      <c r="F212" s="2" t="inlineStr">
        <is>
          <t>S</t>
        </is>
      </c>
      <c r="G212" s="2" t="n">
        <v>2</v>
      </c>
      <c r="H212" s="2" t="n">
        <v>2</v>
      </c>
      <c r="I212" s="3" t="n">
        <v>2</v>
      </c>
      <c r="J212" s="3" t="n">
        <v>2</v>
      </c>
      <c r="K212" s="2" t="inlineStr">
        <is>
          <t>本题 expected 证据：CRMA 本土开采 10%/加工 40%/回收 25% 目标与单一第三国 ≤65% 上限</t>
        </is>
      </c>
      <c r="L212" s="2" t="inlineStr">
        <is>
          <t>欧洲议会与欧盟理事会（EUR-Lex / Official Journal）</t>
        </is>
      </c>
      <c r="M212" s="2" t="inlineStr">
        <is>
          <t>Policy / Trade Risk</t>
        </is>
      </c>
      <c r="N212" s="2" t="inlineStr">
        <is>
          <t>investment_policy</t>
        </is>
      </c>
      <c r="O212" s="2" t="inlineStr">
        <is>
          <t>EU_002; EU_004</t>
        </is>
      </c>
      <c r="P212" s="2" t="inlineStr">
        <is>
          <t>如果中国电池企业要在欧盟建厂或收购当地电池资产，欧盟层面的外资安全审查框架和关键原材料法案会带来哪些约束（审查范围、本土化与单一第三国依赖目标）？</t>
        </is>
      </c>
      <c r="Q212" s="2" t="inlineStr">
        <is>
          <t>Evidence ID: EU_002 Title: Regulation (EU) 2024/1252 establishing a framework for ensuring a secure and sustainable supply of critical raw materials（欧盟关键原材料法案 CRMA） Publisher: 欧洲议会与欧盟理事会（EUR-Lex / Official Journal） Country/Jurisdiction: EU / EU-wide Publication date: 2024-05-03 E</t>
        </is>
      </c>
    </row>
    <row r="213">
      <c r="A213" s="2" t="inlineStr">
        <is>
          <t>Q043</t>
        </is>
      </c>
      <c r="B213" s="2" t="n">
        <v>2</v>
      </c>
      <c r="C213" s="2" t="inlineStr">
        <is>
          <t>EU_004</t>
        </is>
      </c>
      <c r="D213" s="2" t="inlineStr">
        <is>
          <t>Regulation (EU) 2019/452 establishing a framework for the screening of foreign direct investments into the Union（欧盟外资安全审查框架条例）</t>
        </is>
      </c>
      <c r="E213" s="2" t="inlineStr">
        <is>
          <t>对外投资</t>
        </is>
      </c>
      <c r="F213" s="2" t="inlineStr">
        <is>
          <t>S</t>
        </is>
      </c>
      <c r="G213" s="2" t="n">
        <v>2</v>
      </c>
      <c r="H213" s="2" t="n">
        <v>2</v>
      </c>
      <c r="I213" s="3" t="n">
        <v>2</v>
      </c>
      <c r="J213" s="3" t="n">
        <v>2</v>
      </c>
      <c r="K213" s="2" t="inlineStr">
        <is>
          <t>本题 expected 证据：欧盟外资安全审查框架（成员国可按安全/公共秩序审查外资）</t>
        </is>
      </c>
      <c r="L213" s="2" t="inlineStr">
        <is>
          <t>欧洲议会与欧盟理事会（EUR-Lex / Official Journal）</t>
        </is>
      </c>
      <c r="M213" s="2" t="inlineStr">
        <is>
          <t>Policy / Trade Risk</t>
        </is>
      </c>
      <c r="N213" s="2" t="inlineStr">
        <is>
          <t>investment_policy</t>
        </is>
      </c>
      <c r="O213" s="2" t="inlineStr">
        <is>
          <t>EU_002; EU_004</t>
        </is>
      </c>
      <c r="P213" s="2" t="inlineStr">
        <is>
          <t>如果中国电池企业要在欧盟建厂或收购当地电池资产，欧盟层面的外资安全审查框架和关键原材料法案会带来哪些约束（审查范围、本土化与单一第三国依赖目标）？</t>
        </is>
      </c>
      <c r="Q213" s="2" t="inlineStr">
        <is>
          <t>Evidence ID: EU_004 Title: Regulation (EU) 2019/452 establishing a framework for the screening of foreign direct investments into the Union（欧盟外资安全审查框架条例） Publisher: 欧洲议会与欧盟理事会（EUR-Lex / Official Journal） Country/Jurisdiction: EU / EU-wide Publication date: 2019-03-21 Effective da</t>
        </is>
      </c>
    </row>
    <row r="214">
      <c r="A214" s="2" t="inlineStr">
        <is>
          <t>Q043</t>
        </is>
      </c>
      <c r="B214" s="2" t="n">
        <v>3</v>
      </c>
      <c r="C214" s="2" t="inlineStr">
        <is>
          <t>DHS_001</t>
        </is>
      </c>
      <c r="D214" s="2" t="inlineStr">
        <is>
          <t>Notice Regarding the Uyghur Forced Labor Prevention Act Entity List（UFLPA 实体清单更新公告）</t>
        </is>
      </c>
      <c r="E214" s="2" t="inlineStr">
        <is>
          <t>劳工</t>
        </is>
      </c>
      <c r="F214" s="2" t="inlineStr">
        <is>
          <t>S</t>
        </is>
      </c>
      <c r="G214" s="2" t="n">
        <v>0</v>
      </c>
      <c r="H214" s="2" t="n">
        <v>2</v>
      </c>
      <c r="I214" s="3" t="n">
        <v>0</v>
      </c>
      <c r="J214" s="3" t="n">
        <v>2</v>
      </c>
      <c r="K214" s="2" t="inlineStr">
        <is>
          <t>美国强迫劳动清单与欧盟层面投资约束无关</t>
        </is>
      </c>
      <c r="L214" s="2" t="inlineStr">
        <is>
          <t>美国国土安全部（DHS，Federal Register）</t>
        </is>
      </c>
      <c r="M214" s="2" t="inlineStr">
        <is>
          <t>Policy / Trade Risk</t>
        </is>
      </c>
      <c r="N214" s="2" t="inlineStr">
        <is>
          <t>investment_policy</t>
        </is>
      </c>
      <c r="O214" s="2" t="inlineStr">
        <is>
          <t>EU_002; EU_004</t>
        </is>
      </c>
      <c r="P214" s="2" t="inlineStr">
        <is>
          <t>如果中国电池企业要在欧盟建厂或收购当地电池资产，欧盟层面的外资安全审查框架和关键原材料法案会带来哪些约束（审查范围、本土化与单一第三国依赖目标）？</t>
        </is>
      </c>
      <c r="Q21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5">
      <c r="A215" s="2" t="inlineStr">
        <is>
          <t>Q043</t>
        </is>
      </c>
      <c r="B215" s="2" t="n">
        <v>4</v>
      </c>
      <c r="C215" s="2" t="inlineStr">
        <is>
          <t>EU_001</t>
        </is>
      </c>
      <c r="D215" s="2" t="inlineStr">
        <is>
          <t>Regulation (EU) 2023/1542 concerning batteries and waste batteries（欧盟电池与废电池法规）</t>
        </is>
      </c>
      <c r="E215" s="2" t="inlineStr">
        <is>
          <t>市场准入</t>
        </is>
      </c>
      <c r="F215" s="2" t="inlineStr">
        <is>
          <t>S</t>
        </is>
      </c>
      <c r="G215" s="2" t="n">
        <v>0</v>
      </c>
      <c r="H215" s="2" t="n">
        <v>2</v>
      </c>
      <c r="I215" s="3" t="n">
        <v>1</v>
      </c>
      <c r="J215" s="3" t="n">
        <v>2</v>
      </c>
      <c r="K215" s="2" t="inlineStr">
        <is>
          <t>欧盟电池法规的合规与尽责要求，属同一辖区监管约束，可补足建厂后的产品侧义务 ｜ 人工判定与Auto(0)不同，请复核</t>
        </is>
      </c>
      <c r="L215" s="2" t="inlineStr">
        <is>
          <t>欧洲议会与欧盟理事会（EUR-Lex / Official Journal）</t>
        </is>
      </c>
      <c r="M215" s="2" t="inlineStr">
        <is>
          <t>Policy / Trade Risk</t>
        </is>
      </c>
      <c r="N215" s="2" t="inlineStr">
        <is>
          <t>investment_policy</t>
        </is>
      </c>
      <c r="O215" s="2" t="inlineStr">
        <is>
          <t>EU_002; EU_004</t>
        </is>
      </c>
      <c r="P215" s="2" t="inlineStr">
        <is>
          <t>如果中国电池企业要在欧盟建厂或收购当地电池资产，欧盟层面的外资安全审查框架和关键原材料法案会带来哪些约束（审查范围、本土化与单一第三国依赖目标）？</t>
        </is>
      </c>
      <c r="Q215"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16">
      <c r="A216" s="2" t="inlineStr">
        <is>
          <t>Q043</t>
        </is>
      </c>
      <c r="B216" s="2" t="n">
        <v>5</v>
      </c>
      <c r="C216" s="2" t="inlineStr">
        <is>
          <t>EU_003</t>
        </is>
      </c>
      <c r="D216" s="2" t="inlineStr">
        <is>
          <t>Commission Implementing Regulation (EU) 2024/2754 imposing a definitive countervailing duty on imports of new battery electric vehicles originating in China（对华纯电动车最终反补贴税）</t>
        </is>
      </c>
      <c r="E216" s="2" t="inlineStr">
        <is>
          <t>关税</t>
        </is>
      </c>
      <c r="F216" s="2" t="inlineStr">
        <is>
          <t>S</t>
        </is>
      </c>
      <c r="G216" s="2" t="n">
        <v>0</v>
      </c>
      <c r="H216" s="2" t="n">
        <v>2</v>
      </c>
      <c r="I216" s="3" t="n">
        <v>1</v>
      </c>
      <c r="J216" s="3" t="n">
        <v>2</v>
      </c>
      <c r="K216" s="2" t="inlineStr">
        <is>
          <t>欧盟对华纯电反补贴税，属同一辖区贸易措施，影响对欧建厂/出口的成本判断 ｜ 人工判定与Auto(0)不同，请复核</t>
        </is>
      </c>
      <c r="L216" s="2" t="inlineStr">
        <is>
          <t>欧盟委员会（EUR-Lex / Official Journal）</t>
        </is>
      </c>
      <c r="M216" s="2" t="inlineStr">
        <is>
          <t>Policy / Trade Risk</t>
        </is>
      </c>
      <c r="N216" s="2" t="inlineStr">
        <is>
          <t>investment_policy</t>
        </is>
      </c>
      <c r="O216" s="2" t="inlineStr">
        <is>
          <t>EU_002; EU_004</t>
        </is>
      </c>
      <c r="P216" s="2" t="inlineStr">
        <is>
          <t>如果中国电池企业要在欧盟建厂或收购当地电池资产，欧盟层面的外资安全审查框架和关键原材料法案会带来哪些约束（审查范围、本土化与单一第三国依赖目标）？</t>
        </is>
      </c>
      <c r="Q21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sheetData>
  <autoFilter ref="A1:Q216"/>
  <dataValidations count="1">
    <dataValidation sqref="I2:J216"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4</v>
      </c>
      <c r="D2" s="2">
        <f>IFERROR(AVERAGEIF('Item Scoring'!$A$2:$A$216,$A2,'Item Scoring'!$I$2:$I$216),"")</f>
        <v/>
      </c>
      <c r="E2" s="3">
        <f>IFERROR(AVERAGEIF('Item Scoring'!$A$2:$A$216,$A2,'Item Scoring'!$J$2:$J$216),"")</f>
        <v/>
      </c>
      <c r="F2" s="3" t="n">
        <v>2</v>
      </c>
      <c r="G2" s="3" t="inlineStr">
        <is>
          <t>泰国产能案例（CASE_004/005/006/008）全部命中，可直接回答建厂节奏</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CASE_004; CASE_005; CASE_006; CASE_008</t>
        </is>
      </c>
      <c r="L2" s="2" t="inlineStr">
        <is>
          <t>CASE_005; CASE_004; CASE_001; CASE_006; CASE_008</t>
        </is>
      </c>
    </row>
    <row r="3">
      <c r="A3" s="2" t="inlineStr">
        <is>
          <t>Q002</t>
        </is>
      </c>
      <c r="B3" s="2" t="n">
        <v>1</v>
      </c>
      <c r="C3" s="2" t="n">
        <v>2</v>
      </c>
      <c r="D3" s="2">
        <f>IFERROR(AVERAGEIF('Item Scoring'!$A$2:$A$216,$A3,'Item Scoring'!$I$2:$I$216),"")</f>
        <v/>
      </c>
      <c r="E3" s="3">
        <f>IFERROR(AVERAGEIF('Item Scoring'!$A$2:$A$216,$A3,'Item Scoring'!$J$2:$J$216),"")</f>
        <v/>
      </c>
      <c r="F3" s="3" t="n">
        <v>2</v>
      </c>
      <c r="G3" s="3" t="inlineStr">
        <is>
          <t>马来西亚布局案例与美方对马来西亚原产地的官方判断均已覆盖（CASE_008未命中，由CASE_007/CASE_003/CASE_002覆盖）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CASE_007; CASE_008; CASE_010</t>
        </is>
      </c>
      <c r="L3" s="2" t="inlineStr">
        <is>
          <t>CASE_007; CASE_010; CASE_002; CASE_003; MOFCOM_004</t>
        </is>
      </c>
    </row>
    <row r="4">
      <c r="A4" s="2" t="inlineStr">
        <is>
          <t>Q003</t>
        </is>
      </c>
      <c r="B4" s="2" t="n">
        <v>1</v>
      </c>
      <c r="C4" s="2" t="n">
        <v>1</v>
      </c>
      <c r="D4" s="2">
        <f>IFERROR(AVERAGEIF('Item Scoring'!$A$2:$A$216,$A4,'Item Scoring'!$I$2:$I$216),"")</f>
        <v/>
      </c>
      <c r="E4" s="3">
        <f>IFERROR(AVERAGEIF('Item Scoring'!$A$2:$A$216,$A4,'Item Scoring'!$J$2:$J$216),"")</f>
        <v/>
      </c>
      <c r="F4" s="3" t="n">
        <v>1</v>
      </c>
      <c r="G4" s="3" t="inlineStr">
        <is>
          <t>仅 CASE_001 为直接的「回流并放弃海外建厂」实例，其余4条为东南亚扩厂案例，方向相反</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CASE_002; CASE_003</t>
        </is>
      </c>
      <c r="L4" s="2" t="inlineStr">
        <is>
          <t>CASE_001; CASE_008; CASE_007; CASE_004; CASE_006</t>
        </is>
      </c>
    </row>
    <row r="5">
      <c r="A5" s="2" t="inlineStr">
        <is>
          <t>Q004</t>
        </is>
      </c>
      <c r="B5" s="2" t="n">
        <v>1</v>
      </c>
      <c r="C5" s="2" t="n">
        <v>5</v>
      </c>
      <c r="D5" s="2">
        <f>IFERROR(AVERAGEIF('Item Scoring'!$A$2:$A$216,$A5,'Item Scoring'!$I$2:$I$216),"")</f>
        <v/>
      </c>
      <c r="E5" s="3">
        <f>IFERROR(AVERAGEIF('Item Scoring'!$A$2:$A$216,$A5,'Item Scoring'!$J$2:$J$216),"")</f>
        <v/>
      </c>
      <c r="F5" s="3" t="n">
        <v>2</v>
      </c>
      <c r="G5" s="3" t="inlineStr">
        <is>
          <t>gold 五条全部命中，布局与客户/地缘关系全覆盖</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t>
        </is>
      </c>
      <c r="L5" s="2" t="inlineStr">
        <is>
          <t>CASE_008; CASE_007; CASE_004; CASE_005; CASE_006</t>
        </is>
      </c>
    </row>
    <row r="6">
      <c r="A6" s="2" t="inlineStr">
        <is>
          <t>Q005</t>
        </is>
      </c>
      <c r="B6" s="2" t="n">
        <v>1</v>
      </c>
      <c r="C6" s="2" t="n">
        <v>3</v>
      </c>
      <c r="D6" s="2">
        <f>IFERROR(AVERAGEIF('Item Scoring'!$A$2:$A$216,$A6,'Item Scoring'!$I$2:$I$216),"")</f>
        <v/>
      </c>
      <c r="E6" s="3">
        <f>IFERROR(AVERAGEIF('Item Scoring'!$A$2:$A$216,$A6,'Item Scoring'!$J$2:$J$216),"")</f>
        <v/>
      </c>
      <c r="F6" s="3" t="n">
        <v>2</v>
      </c>
      <c r="G6" s="3" t="inlineStr">
        <is>
          <t>「认定规避」与「未规避」双向判例 + 官方立场齐全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DHS_001; CASE_001</t>
        </is>
      </c>
    </row>
    <row r="7">
      <c r="A7" s="2" t="inlineStr">
        <is>
          <t>Q006</t>
        </is>
      </c>
      <c r="B7" s="2" t="n">
        <v>1</v>
      </c>
      <c r="C7" s="2" t="n">
        <v>4</v>
      </c>
      <c r="D7" s="2">
        <f>IFERROR(AVERAGEIF('Item Scoring'!$A$2:$A$216,$A7,'Item Scoring'!$I$2:$I$216),"")</f>
        <v/>
      </c>
      <c r="E7" s="3">
        <f>IFERROR(AVERAGEIF('Item Scoring'!$A$2:$A$216,$A7,'Item Scoring'!$J$2:$J$216),"")</f>
        <v/>
      </c>
      <c r="F7" s="3" t="n">
        <v>2</v>
      </c>
      <c r="G7" s="3" t="inlineStr">
        <is>
          <t>美方穿透规则与中方目录/暂停措施齐全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MOFCOM_002; BIS_002; BIS_001; CASE_009; MOFCOM_001</t>
        </is>
      </c>
    </row>
    <row r="8">
      <c r="A8" s="2" t="inlineStr">
        <is>
          <t>Q007</t>
        </is>
      </c>
      <c r="B8" s="2" t="n">
        <v>1</v>
      </c>
      <c r="C8" s="2" t="n">
        <v>4</v>
      </c>
      <c r="D8" s="2">
        <f>IFERROR(AVERAGEIF('Item Scoring'!$A$2:$A$216,$A8,'Item Scoring'!$I$2:$I$216),"")</f>
        <v/>
      </c>
      <c r="E8" s="3">
        <f>IFERROR(AVERAGEIF('Item Scoring'!$A$2:$A$216,$A8,'Item Scoring'!$J$2:$J$216),"")</f>
        <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BIS_001; BIS_002; ITA_001; DHS_001</t>
        </is>
      </c>
    </row>
    <row r="9">
      <c r="A9" s="2" t="inlineStr">
        <is>
          <t>Q008</t>
        </is>
      </c>
      <c r="B9" s="2" t="n">
        <v>1</v>
      </c>
      <c r="C9" s="2" t="n">
        <v>3</v>
      </c>
      <c r="D9" s="2">
        <f>IFERROR(AVERAGEIF('Item Scoring'!$A$2:$A$216,$A9,'Item Scoring'!$I$2:$I$216),"")</f>
        <v/>
      </c>
      <c r="E9" s="3">
        <f>IFERROR(AVERAGEIF('Item Scoring'!$A$2:$A$216,$A9,'Item Scoring'!$J$2:$J$216),"")</f>
        <v/>
      </c>
      <c r="F9" s="3" t="n">
        <v>2</v>
      </c>
      <c r="G9" s="3" t="inlineStr">
        <is>
          <t>暂停期与恢复规则齐全；FR_001未命中但由BIS_001/002覆盖</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MOFCOM_002; ITA_001</t>
        </is>
      </c>
    </row>
    <row r="10">
      <c r="A10" s="2" t="inlineStr">
        <is>
          <t>Q009</t>
        </is>
      </c>
      <c r="B10" s="2" t="n">
        <v>1</v>
      </c>
      <c r="C10" s="2" t="n">
        <v>4</v>
      </c>
      <c r="D10" s="2">
        <f>IFERROR(AVERAGEIF('Item Scoring'!$A$2:$A$216,$A10,'Item Scoring'!$I$2:$I$216),"")</f>
        <v/>
      </c>
      <c r="E10" s="3">
        <f>IFERROR(AVERAGEIF('Item Scoring'!$A$2:$A$216,$A10,'Item Scoring'!$J$2:$J$216),"")</f>
        <v/>
      </c>
      <c r="F10" s="3" t="n">
        <v>2</v>
      </c>
      <c r="G10" s="3" t="inlineStr">
        <is>
          <t>政策方向、行政令与执法先例齐全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CASE_010; WH_002; WH_001; CSIS_001; CASE_002</t>
        </is>
      </c>
    </row>
    <row r="11">
      <c r="A11" s="2" t="inlineStr">
        <is>
          <t>Q010</t>
        </is>
      </c>
      <c r="B11" s="2" t="n">
        <v>1</v>
      </c>
      <c r="C11" s="2" t="n">
        <v>3</v>
      </c>
      <c r="D11" s="2">
        <f>IFERROR(AVERAGEIF('Item Scoring'!$A$2:$A$216,$A11,'Item Scoring'!$I$2:$I$216),"")</f>
        <v/>
      </c>
      <c r="E11" s="3">
        <f>IFERROR(AVERAGEIF('Item Scoring'!$A$2:$A$216,$A11,'Item Scoring'!$J$2:$J$216),"")</f>
        <v/>
      </c>
      <c r="F11" s="3" t="n">
        <v>2</v>
      </c>
      <c r="G11" s="3" t="inlineStr">
        <is>
          <t>「认定规避」判例与美方执法立场齐全（CASE_003/DOC_001未命中，由CASE_002/WH_002替代）</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CASE_010; DHS_001; WH_001; WH_002</t>
        </is>
      </c>
    </row>
    <row r="12">
      <c r="A12" s="2" t="inlineStr">
        <is>
          <t>Q011</t>
        </is>
      </c>
      <c r="B12" s="2" t="n">
        <v>1</v>
      </c>
      <c r="C12" s="2" t="n">
        <v>1</v>
      </c>
      <c r="D12" s="2">
        <f>IFERROR(AVERAGEIF('Item Scoring'!$A$2:$A$216,$A12,'Item Scoring'!$I$2:$I$216),"")</f>
        <v/>
      </c>
      <c r="E12" s="3">
        <f>IFERROR(AVERAGEIF('Item Scoring'!$A$2:$A$216,$A12,'Item Scoring'!$J$2:$J$216),"")</f>
        <v/>
      </c>
      <c r="F12" s="3" t="n">
        <v>2</v>
      </c>
      <c r="G12" s="3" t="inlineStr">
        <is>
          <t>中国官方规则 + IMF/UNCTAD 国际投资环境证据齐全</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MOFCOM_005; MOFCOM_003; MOFCOM_006; CNGOV_001; MOFCOM_004</t>
        </is>
      </c>
    </row>
    <row r="13">
      <c r="A13" s="2" t="inlineStr">
        <is>
          <t>Q012</t>
        </is>
      </c>
      <c r="B13" s="2" t="n">
        <v>1</v>
      </c>
      <c r="C13" s="2" t="n">
        <v>2</v>
      </c>
      <c r="D13" s="2">
        <f>IFERROR(AVERAGEIF('Item Scoring'!$A$2:$A$216,$A13,'Item Scoring'!$I$2:$I$216),"")</f>
        <v/>
      </c>
      <c r="E13" s="3">
        <f>IFERROR(AVERAGEIF('Item Scoring'!$A$2:$A$216,$A13,'Item Scoring'!$J$2:$J$216),"")</f>
        <v/>
      </c>
      <c r="F13" s="3" t="n">
        <v>1</v>
      </c>
      <c r="G13" s="3" t="inlineStr">
        <is>
          <t>仅 WEF/UNCTAD 命中，缺 IMF 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WEF_001; WTO_002; MOFCOM_003; UNCTAD_001; MOFCOM_006</t>
        </is>
      </c>
    </row>
    <row r="14">
      <c r="A14" s="2" t="inlineStr">
        <is>
          <t>Q013</t>
        </is>
      </c>
      <c r="B14" s="2" t="n">
        <v>1</v>
      </c>
      <c r="C14" s="2" t="n">
        <v>5</v>
      </c>
      <c r="D14" s="2">
        <f>IFERROR(AVERAGEIF('Item Scoring'!$A$2:$A$216,$A14,'Item Scoring'!$I$2:$I$216),"")</f>
        <v/>
      </c>
      <c r="E14" s="3">
        <f>IFERROR(AVERAGEIF('Item Scoring'!$A$2:$A$216,$A14,'Item Scoring'!$J$2:$J$216),"")</f>
        <v/>
      </c>
      <c r="F14" s="3" t="n">
        <v>2</v>
      </c>
      <c r="G14" s="3" t="inlineStr">
        <is>
          <t>贸易、投资、风险三类高权威证据齐全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IMF_001; UNCTAD_001; WTO_001; MCK_001; WEF_001</t>
        </is>
      </c>
    </row>
    <row r="15">
      <c r="A15" s="2" t="inlineStr">
        <is>
          <t>Q014</t>
        </is>
      </c>
      <c r="B15" s="2" t="n">
        <v>1</v>
      </c>
      <c r="C15" s="2" t="n">
        <v>4</v>
      </c>
      <c r="D15" s="2">
        <f>IFERROR(AVERAGEIF('Item Scoring'!$A$2:$A$216,$A15,'Item Scoring'!$I$2:$I$216),"")</f>
        <v/>
      </c>
      <c r="E15" s="3">
        <f>IFERROR(AVERAGEIF('Item Scoring'!$A$2:$A$216,$A15,'Item Scoring'!$J$2:$J$216),"")</f>
        <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NIO_001</t>
        </is>
      </c>
    </row>
    <row r="16">
      <c r="A16" s="2" t="inlineStr">
        <is>
          <t>Q015</t>
        </is>
      </c>
      <c r="B16" s="2" t="n">
        <v>1</v>
      </c>
      <c r="C16" s="2" t="n">
        <v>2</v>
      </c>
      <c r="D16" s="2">
        <f>IFERROR(AVERAGEIF('Item Scoring'!$A$2:$A$216,$A16,'Item Scoring'!$I$2:$I$216),"")</f>
        <v/>
      </c>
      <c r="E16" s="3">
        <f>IFERROR(AVERAGEIF('Item Scoring'!$A$2:$A$216,$A16,'Item Scoring'!$J$2:$J$216),"")</f>
        <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NIO_001</t>
        </is>
      </c>
    </row>
    <row r="17">
      <c r="A17" s="2" t="inlineStr">
        <is>
          <t>Q016</t>
        </is>
      </c>
      <c r="B17" s="2" t="n">
        <v>1</v>
      </c>
      <c r="C17" s="2" t="n">
        <v>2</v>
      </c>
      <c r="D17" s="2">
        <f>IFERROR(AVERAGEIF('Item Scoring'!$A$2:$A$216,$A17,'Item Scoring'!$I$2:$I$216),"")</f>
        <v/>
      </c>
      <c r="E17" s="3">
        <f>IFERROR(AVERAGEIF('Item Scoring'!$A$2:$A$216,$A17,'Item Scoring'!$J$2:$J$216),"")</f>
        <v/>
      </c>
      <c r="F17" s="3" t="n">
        <v>2</v>
      </c>
      <c r="G17" s="3" t="inlineStr">
        <is>
          <t>贸易数据两侧 + 政策侧证据齐全</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DHS_001; CASE_003; TRD_003; WH_002</t>
        </is>
      </c>
    </row>
    <row r="18">
      <c r="A18" s="2" t="inlineStr">
        <is>
          <t>Q017</t>
        </is>
      </c>
      <c r="B18" s="2" t="n">
        <v>1</v>
      </c>
      <c r="C18" s="2" t="n">
        <v>4</v>
      </c>
      <c r="D18" s="2">
        <f>IFERROR(AVERAGEIF('Item Scoring'!$A$2:$A$216,$A18,'Item Scoring'!$I$2:$I$216),"")</f>
        <v/>
      </c>
      <c r="E18" s="3">
        <f>IFERROR(AVERAGEIF('Item Scoring'!$A$2:$A$216,$A18,'Item Scoring'!$J$2:$J$216),"")</f>
        <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WH_002; CSIS_001; WTO_001</t>
        </is>
      </c>
    </row>
    <row r="19">
      <c r="A19" s="2" t="inlineStr">
        <is>
          <t>Q018</t>
        </is>
      </c>
      <c r="B19" s="2" t="n">
        <v>1</v>
      </c>
      <c r="C19" s="2" t="n">
        <v>3</v>
      </c>
      <c r="D19" s="2">
        <f>IFERROR(AVERAGEIF('Item Scoring'!$A$2:$A$216,$A19,'Item Scoring'!$I$2:$I$216),"")</f>
        <v/>
      </c>
      <c r="E19" s="3">
        <f>IFERROR(AVERAGEIF('Item Scoring'!$A$2:$A$216,$A19,'Item Scoring'!$J$2:$J$216),"")</f>
        <v/>
      </c>
      <c r="F19" s="3" t="n">
        <v>2</v>
      </c>
      <c r="G19" s="3" t="inlineStr">
        <is>
          <t>案例与贸易数据充足；CASE_003未命中但CASE_002覆盖原产地认定</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t>
        </is>
      </c>
      <c r="L19" s="2" t="inlineStr">
        <is>
          <t>CASE_002; TRD_003; CASE_008; DHS_001; MOFCOM_003</t>
        </is>
      </c>
    </row>
    <row r="20">
      <c r="A20" s="2" t="inlineStr">
        <is>
          <t>Q019</t>
        </is>
      </c>
      <c r="B20" s="2" t="n">
        <v>1</v>
      </c>
      <c r="C20" s="2" t="n">
        <v>3</v>
      </c>
      <c r="D20" s="2">
        <f>IFERROR(AVERAGEIF('Item Scoring'!$A$2:$A$216,$A20,'Item Scoring'!$I$2:$I$216),"")</f>
        <v/>
      </c>
      <c r="E20" s="3">
        <f>IFERROR(AVERAGEIF('Item Scoring'!$A$2:$A$216,$A20,'Item Scoring'!$J$2:$J$216),"")</f>
        <v/>
      </c>
      <c r="F20" s="3" t="n">
        <v>2</v>
      </c>
      <c r="G20" s="3" t="inlineStr">
        <is>
          <t>企业案例 + KPMG供应链调查齐全</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t>
        </is>
      </c>
      <c r="L20" s="2" t="inlineStr">
        <is>
          <t>CASE_001; KPMG_001; SNE_001; CASE_008; TSLA_001</t>
        </is>
      </c>
    </row>
    <row r="21">
      <c r="A21" s="2" t="inlineStr">
        <is>
          <t>Q020</t>
        </is>
      </c>
      <c r="B21" s="2" t="n">
        <v>1</v>
      </c>
      <c r="C21" s="2" t="n">
        <v>4</v>
      </c>
      <c r="D21" s="2">
        <f>IFERROR(AVERAGEIF('Item Scoring'!$A$2:$A$216,$A21,'Item Scoring'!$I$2:$I$216),"")</f>
        <v/>
      </c>
      <c r="E21" s="3">
        <f>IFERROR(AVERAGEIF('Item Scoring'!$A$2:$A$216,$A21,'Item Scoring'!$J$2:$J$216),"")</f>
        <v/>
      </c>
      <c r="F21" s="3" t="n">
        <v>2</v>
      </c>
      <c r="G21" s="3" t="inlineStr">
        <is>
          <t>中间品依赖与转运审查证据齐全；CSIS_001未命中由WH_002/CASE_010覆盖</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WH_002; CSIS_001; WTO_001; TRD_001</t>
        </is>
      </c>
    </row>
    <row r="22">
      <c r="A22" s="2" t="inlineStr">
        <is>
          <t>Q021</t>
        </is>
      </c>
      <c r="B22" s="2" t="n">
        <v>1</v>
      </c>
      <c r="C22" s="2" t="n">
        <v>4</v>
      </c>
      <c r="D22" s="2">
        <f>IFERROR(AVERAGEIF('Item Scoring'!$A$2:$A$216,$A22,'Item Scoring'!$I$2:$I$216),"")</f>
        <v/>
      </c>
      <c r="E22" s="3">
        <f>IFERROR(AVERAGEIF('Item Scoring'!$A$2:$A$216,$A22,'Item Scoring'!$J$2:$J$216),"")</f>
        <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CSIS_001; CASE_010; USMCA_001; WH_002; WH_001</t>
        </is>
      </c>
    </row>
    <row r="23">
      <c r="A23" s="2" t="inlineStr">
        <is>
          <t>Q022</t>
        </is>
      </c>
      <c r="B23" s="2" t="n">
        <v>1</v>
      </c>
      <c r="C23" s="2" t="n">
        <v>3</v>
      </c>
      <c r="D23" s="2">
        <f>IFERROR(AVERAGEIF('Item Scoring'!$A$2:$A$216,$A23,'Item Scoring'!$I$2:$I$216),"")</f>
        <v/>
      </c>
      <c r="E23" s="3">
        <f>IFERROR(AVERAGEIF('Item Scoring'!$A$2:$A$216,$A23,'Item Scoring'!$J$2:$J$216),"")</f>
        <v/>
      </c>
      <c r="F23" s="3" t="n">
        <v>2</v>
      </c>
      <c r="G23" s="3" t="inlineStr">
        <is>
          <t>受限方筛查数据源与规则齐全（BIS_001/002 + CASE_009 + ITA_001）</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CASE_009; DHS_001; BIS_002; EU_001</t>
        </is>
      </c>
    </row>
    <row r="24">
      <c r="A24" s="2" t="inlineStr">
        <is>
          <t>Q023</t>
        </is>
      </c>
      <c r="B24" s="2" t="n">
        <v>1</v>
      </c>
      <c r="C24" s="2" t="n">
        <v>4</v>
      </c>
      <c r="D24" s="2">
        <f>IFERROR(AVERAGEIF('Item Scoring'!$A$2:$A$216,$A24,'Item Scoring'!$I$2:$I$216),"")</f>
        <v/>
      </c>
      <c r="E24" s="3">
        <f>IFERROR(AVERAGEIF('Item Scoring'!$A$2:$A$216,$A24,'Item Scoring'!$J$2:$J$216),"")</f>
        <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DOC_001; CASE_002; CASE_003; WH_002; USMCA_001</t>
        </is>
      </c>
    </row>
    <row r="25">
      <c r="A25" s="2" t="inlineStr">
        <is>
          <t>Q024</t>
        </is>
      </c>
      <c r="B25" s="2" t="n">
        <v>1</v>
      </c>
      <c r="C25" s="2" t="n">
        <v>5</v>
      </c>
      <c r="D25" s="2">
        <f>IFERROR(AVERAGEIF('Item Scoring'!$A$2:$A$216,$A25,'Item Scoring'!$I$2:$I$216),"")</f>
        <v/>
      </c>
      <c r="E25" s="3">
        <f>IFERROR(AVERAGEIF('Item Scoring'!$A$2:$A$216,$A25,'Item Scoring'!$J$2:$J$216),"")</f>
        <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t>
        </is>
      </c>
      <c r="L25" s="2" t="inlineStr">
        <is>
          <t>CASE_010; WH_002; WH_001; CSIS_001; CASE_008</t>
        </is>
      </c>
    </row>
    <row r="26">
      <c r="A26" s="2" t="inlineStr">
        <is>
          <t>Q025</t>
        </is>
      </c>
      <c r="B26" s="2" t="n">
        <v>1</v>
      </c>
      <c r="C26" s="2" t="n">
        <v>3</v>
      </c>
      <c r="D26" s="2">
        <f>IFERROR(AVERAGEIF('Item Scoring'!$A$2:$A$216,$A26,'Item Scoring'!$I$2:$I$216),"")</f>
        <v/>
      </c>
      <c r="E26" s="3">
        <f>IFERROR(AVERAGEIF('Item Scoring'!$A$2:$A$216,$A26,'Item Scoring'!$J$2:$J$216),"")</f>
        <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MOFCOM_004; MOFCOM_003</t>
        </is>
      </c>
    </row>
    <row r="27">
      <c r="A27" s="2" t="inlineStr">
        <is>
          <t>Q026</t>
        </is>
      </c>
      <c r="B27" s="2" t="n">
        <v>1</v>
      </c>
      <c r="C27" s="2" t="n">
        <v>4</v>
      </c>
      <c r="D27" s="2">
        <f>IFERROR(AVERAGEIF('Item Scoring'!$A$2:$A$216,$A27,'Item Scoring'!$I$2:$I$216),"")</f>
        <v/>
      </c>
      <c r="E27" s="3">
        <f>IFERROR(AVERAGEIF('Item Scoring'!$A$2:$A$216,$A27,'Item Scoring'!$J$2:$J$216),"")</f>
        <v/>
      </c>
      <c r="F27" s="3" t="n">
        <v>2</v>
      </c>
      <c r="G27" s="3" t="inlineStr">
        <is>
          <t>两种情景均有直接依据（ITA_001未命中由BIS_001/002覆盖）</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CASE_009; BIS_001; NIO_001; FR_001</t>
        </is>
      </c>
    </row>
    <row r="28">
      <c r="A28" s="2" t="inlineStr">
        <is>
          <t>Q027</t>
        </is>
      </c>
      <c r="B28" s="2" t="n">
        <v>1</v>
      </c>
      <c r="C28" s="2" t="n">
        <v>4</v>
      </c>
      <c r="D28" s="2">
        <f>IFERROR(AVERAGEIF('Item Scoring'!$A$2:$A$216,$A28,'Item Scoring'!$I$2:$I$216),"")</f>
        <v/>
      </c>
      <c r="E28" s="3">
        <f>IFERROR(AVERAGEIF('Item Scoring'!$A$2:$A$216,$A28,'Item Scoring'!$J$2:$J$216),"")</f>
        <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CASE_002; DOC_001; CASE_003; WH_002; WH_001</t>
        </is>
      </c>
    </row>
    <row r="29">
      <c r="A29" s="2" t="inlineStr">
        <is>
          <t>Q028</t>
        </is>
      </c>
      <c r="B29" s="2" t="n">
        <v>1</v>
      </c>
      <c r="C29" s="2" t="n">
        <v>4</v>
      </c>
      <c r="D29" s="2">
        <f>IFERROR(AVERAGEIF('Item Scoring'!$A$2:$A$216,$A29,'Item Scoring'!$I$2:$I$216),"")</f>
        <v/>
      </c>
      <c r="E29" s="3">
        <f>IFERROR(AVERAGEIF('Item Scoring'!$A$2:$A$216,$A29,'Item Scoring'!$J$2:$J$216),"")</f>
        <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CASE_002; WH_002; DOC_001; CASE_010</t>
        </is>
      </c>
    </row>
    <row r="30">
      <c r="A30" s="2" t="inlineStr">
        <is>
          <t>Q029</t>
        </is>
      </c>
      <c r="B30" s="2" t="n">
        <v>1</v>
      </c>
      <c r="C30" s="2" t="n">
        <v>3</v>
      </c>
      <c r="D30" s="2">
        <f>IFERROR(AVERAGEIF('Item Scoring'!$A$2:$A$216,$A30,'Item Scoring'!$I$2:$I$216),"")</f>
        <v/>
      </c>
      <c r="E30" s="3">
        <f>IFERROR(AVERAGEIF('Item Scoring'!$A$2:$A$216,$A30,'Item Scoring'!$J$2:$J$216),"")</f>
        <v/>
      </c>
      <c r="F30" s="3" t="n">
        <v>1</v>
      </c>
      <c r="G30" s="3" t="inlineStr">
        <is>
          <t>缺企业供应链调查证据（KPMG_001）与麦肯锡情景证据</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WTO_001; WTO_002; IMF_001; CNGOV_001; UNCTAD_001</t>
        </is>
      </c>
    </row>
    <row r="31">
      <c r="A31" s="2" t="inlineStr">
        <is>
          <t>Q030</t>
        </is>
      </c>
      <c r="B31" s="2" t="n">
        <v>1</v>
      </c>
      <c r="C31" s="2" t="n">
        <v>3</v>
      </c>
      <c r="D31" s="2">
        <f>IFERROR(AVERAGEIF('Item Scoring'!$A$2:$A$216,$A31,'Item Scoring'!$I$2:$I$216),"")</f>
        <v/>
      </c>
      <c r="E31" s="3">
        <f>IFERROR(AVERAGEIF('Item Scoring'!$A$2:$A$216,$A31,'Item Scoring'!$J$2:$J$216),"")</f>
        <v/>
      </c>
      <c r="F31" s="3" t="n">
        <v>1</v>
      </c>
      <c r="G31" s="3" t="inlineStr">
        <is>
          <t>贸易数据与执法证据齐全，但泰国产能案例（CASE_004/005/006）未命中，情景A支撑不足</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t>
        </is>
      </c>
      <c r="L31" s="2" t="inlineStr">
        <is>
          <t>CASE_010; WH_002; WH_001; CSIS_001; CASE_007</t>
        </is>
      </c>
    </row>
    <row r="32">
      <c r="A32" s="2" t="inlineStr">
        <is>
          <t>Q031</t>
        </is>
      </c>
      <c r="B32" s="2" t="n">
        <v>1</v>
      </c>
      <c r="C32" s="2" t="n">
        <v>1</v>
      </c>
      <c r="D32" s="2">
        <f>IFERROR(AVERAGEIF('Item Scoring'!$A$2:$A$216,$A32,'Item Scoring'!$I$2:$I$216),"")</f>
        <v/>
      </c>
      <c r="E32" s="3">
        <f>IFERROR(AVERAGEIF('Item Scoring'!$A$2:$A$216,$A32,'Item Scoring'!$J$2:$J$216),"")</f>
        <v/>
      </c>
      <c r="F32" s="3" t="n">
        <v>2</v>
      </c>
      <c r="G32" s="3" t="inlineStr">
        <is>
          <t>gold（TSLA_001）命中且排名第1，制造布局与关税影响可直接回答</t>
        </is>
      </c>
      <c r="H32" s="2" t="inlineStr">
        <is>
          <t>Company Intelligence</t>
        </is>
      </c>
      <c r="I32" s="2" t="inlineStr">
        <is>
          <t>supply_chain</t>
        </is>
      </c>
      <c r="J32" s="2" t="inlineStr">
        <is>
          <t>我们在评估把电池与整车产能分散到中国以外，是否真能降低关税与物流成本。特斯拉最新年报对其全球制造布局与关税影响的原始披露说明了什么？</t>
        </is>
      </c>
      <c r="K32" s="2" t="inlineStr">
        <is>
          <t>TSLA_001</t>
        </is>
      </c>
      <c r="L32" s="2" t="inlineStr">
        <is>
          <t>TSLA_001; EU_003; UST_001; DHS_001; SNE_001</t>
        </is>
      </c>
    </row>
    <row r="33">
      <c r="A33" s="2" t="inlineStr">
        <is>
          <t>Q032</t>
        </is>
      </c>
      <c r="B33" s="2" t="n">
        <v>1</v>
      </c>
      <c r="C33" s="2" t="n">
        <v>2</v>
      </c>
      <c r="D33" s="2">
        <f>IFERROR(AVERAGEIF('Item Scoring'!$A$2:$A$216,$A33,'Item Scoring'!$I$2:$I$216),"")</f>
        <v/>
      </c>
      <c r="E33" s="3">
        <f>IFERROR(AVERAGEIF('Item Scoring'!$A$2:$A$216,$A33,'Item Scoring'!$J$2:$J$216),"")</f>
        <v/>
      </c>
      <c r="F33" s="3" t="n">
        <v>2</v>
      </c>
      <c r="G33" s="3" t="inlineStr">
        <is>
          <t>三家 gold（NIO_001/XPEV_001/LI_001）全部命中，分别排名1–2</t>
        </is>
      </c>
      <c r="H33" s="2" t="inlineStr">
        <is>
          <t>Company Intelligence</t>
        </is>
      </c>
      <c r="I33" s="2" t="inlineStr">
        <is>
          <t>export_control</t>
        </is>
      </c>
      <c r="J33" s="2" t="inlineStr">
        <is>
          <t>如果管理层要评估美国对华出口管制与关税升级对整车企业采购端的直接影响，蔚来、小鹏、理想三家在美股年报中分别披露了哪些制造基地，以及哪些与出口管制/关税相关的供应链风险？</t>
        </is>
      </c>
      <c r="K33" s="2" t="inlineStr">
        <is>
          <t>NIO_001; XPEV_001; LI_001</t>
        </is>
      </c>
      <c r="L33" s="2" t="inlineStr">
        <is>
          <t>NIO_001; XPEV_001; MOFCOM_002; FR_001; ITA_001</t>
        </is>
      </c>
    </row>
    <row r="34">
      <c r="A34" s="2" t="inlineStr">
        <is>
          <t>Q033</t>
        </is>
      </c>
      <c r="B34" s="2" t="n">
        <v>1</v>
      </c>
      <c r="C34" s="2" t="n">
        <v>1</v>
      </c>
      <c r="D34" s="2">
        <f>IFERROR(AVERAGEIF('Item Scoring'!$A$2:$A$216,$A34,'Item Scoring'!$I$2:$I$216),"")</f>
        <v/>
      </c>
      <c r="E34" s="3">
        <f>IFERROR(AVERAGEIF('Item Scoring'!$A$2:$A$216,$A34,'Item Scoring'!$J$2:$J$216),"")</f>
        <v/>
      </c>
      <c r="F34" s="3" t="n">
        <v>2</v>
      </c>
      <c r="G34" s="3" t="inlineStr">
        <is>
          <t>gold（ALB_001）命中且排名第1，锂资源/加工布局与贸易政策风险可答</t>
        </is>
      </c>
      <c r="H34" s="2" t="inlineStr">
        <is>
          <t>Company Intelligence</t>
        </is>
      </c>
      <c r="I34" s="2" t="inlineStr">
        <is>
          <t>supply_chain</t>
        </is>
      </c>
      <c r="J34" s="2" t="inlineStr">
        <is>
          <t>我们要评估锂盐供应在贸易政策变化下的脆弱性。雅保（Albemarle）最新年报如何披露其锂资源与转化加工的全球布局，以及相关的贸易政策风险？</t>
        </is>
      </c>
      <c r="K34" s="2" t="inlineStr">
        <is>
          <t>ALB_001</t>
        </is>
      </c>
      <c r="L34" s="2" t="inlineStr">
        <is>
          <t>ALB_001; DHS_001; SNE_001; TRD_001; EU_003</t>
        </is>
      </c>
    </row>
    <row r="35">
      <c r="A35" s="2" t="inlineStr">
        <is>
          <t>Q034</t>
        </is>
      </c>
      <c r="B35" s="2" t="n">
        <v>1</v>
      </c>
      <c r="C35" s="2" t="n">
        <v>1</v>
      </c>
      <c r="D35" s="2">
        <f>IFERROR(AVERAGEIF('Item Scoring'!$A$2:$A$216,$A35,'Item Scoring'!$I$2:$I$216),"")</f>
        <v/>
      </c>
      <c r="E35" s="3">
        <f>IFERROR(AVERAGEIF('Item Scoring'!$A$2:$A$216,$A35,'Item Scoring'!$J$2:$J$216),"")</f>
        <v/>
      </c>
      <c r="F35" s="3" t="n">
        <v>2</v>
      </c>
      <c r="G35" s="3" t="inlineStr">
        <is>
          <t>gold（USMCA_001）命中且排名第1，75%/65% 原产地门槛可答</t>
        </is>
      </c>
      <c r="H35" s="2" t="inlineStr">
        <is>
          <t>Market Access</t>
        </is>
      </c>
      <c r="I35" s="2" t="inlineStr">
        <is>
          <t>trade_policy</t>
        </is>
      </c>
      <c r="J35" s="2" t="inlineStr">
        <is>
          <t>假设我们把电池包组装放在墨西哥、电芯仍从中国采购，要享受USMCA优惠关税必须满足什么原产地成分门槛？</t>
        </is>
      </c>
      <c r="K35" s="2" t="inlineStr">
        <is>
          <t>USMCA_001</t>
        </is>
      </c>
      <c r="L35" s="2" t="inlineStr">
        <is>
          <t>USMCA_001; DHS_001; CSIS_001; SNE_001; IRS_001</t>
        </is>
      </c>
    </row>
    <row r="36">
      <c r="A36" s="2" t="inlineStr">
        <is>
          <t>Q035</t>
        </is>
      </c>
      <c r="B36" s="2" t="n">
        <v>1</v>
      </c>
      <c r="C36" s="2" t="n">
        <v>2</v>
      </c>
      <c r="D36" s="2">
        <f>IFERROR(AVERAGEIF('Item Scoring'!$A$2:$A$216,$A36,'Item Scoring'!$I$2:$I$216),"")</f>
        <v/>
      </c>
      <c r="E36" s="3">
        <f>IFERROR(AVERAGEIF('Item Scoring'!$A$2:$A$216,$A36,'Item Scoring'!$J$2:$J$216),"")</f>
        <v/>
      </c>
      <c r="F36" s="3" t="n">
        <v>2</v>
      </c>
      <c r="G36" s="3" t="inlineStr">
        <is>
          <t>两份 India gold（WTO_002/WTO_003）全部命中，排名1–2（关税水平 + 政策基线）</t>
        </is>
      </c>
      <c r="H36" s="2" t="inlineStr">
        <is>
          <t>Policy / Trade Risk</t>
        </is>
      </c>
      <c r="I36" s="2" t="inlineStr">
        <is>
          <t>tariff</t>
        </is>
      </c>
      <c r="J36" s="2" t="inlineStr">
        <is>
          <t>我们准备在印度本地建厂以服务当地市场，印度当前的进口关税水平与贸易/本地化政策基线是什么？</t>
        </is>
      </c>
      <c r="K36" s="2" t="inlineStr">
        <is>
          <t>WTO_002; WTO_003</t>
        </is>
      </c>
      <c r="L36" s="2" t="inlineStr">
        <is>
          <t>WTO_002; WTO_003; IRS_001; WTO_004; DHS_001</t>
        </is>
      </c>
    </row>
    <row r="37">
      <c r="A37" s="2" t="inlineStr">
        <is>
          <t>Q036</t>
        </is>
      </c>
      <c r="B37" s="2" t="n">
        <v>1</v>
      </c>
      <c r="C37" s="2" t="n">
        <v>1</v>
      </c>
      <c r="D37" s="2">
        <f>IFERROR(AVERAGEIF('Item Scoring'!$A$2:$A$216,$A37,'Item Scoring'!$I$2:$I$216),"")</f>
        <v/>
      </c>
      <c r="E37" s="3">
        <f>IFERROR(AVERAGEIF('Item Scoring'!$A$2:$A$216,$A37,'Item Scoring'!$J$2:$J$216),"")</f>
        <v/>
      </c>
      <c r="F37" s="3" t="n">
        <v>2</v>
      </c>
      <c r="G37" s="3" t="inlineStr">
        <is>
          <t>gold（WTO_004）命中且排名第1，TKDN 本地含量与镍下游化要求可答</t>
        </is>
      </c>
      <c r="H37" s="2" t="inlineStr">
        <is>
          <t>Market Access</t>
        </is>
      </c>
      <c r="I37" s="2" t="inlineStr">
        <is>
          <t>localization_policy</t>
        </is>
      </c>
      <c r="J37" s="2" t="inlineStr">
        <is>
          <t>印尼对镍与电池产业链设置了哪些本地含量和矿产下游化要求，会影响我们在当地的投资与采购安排？</t>
        </is>
      </c>
      <c r="K37" s="2" t="inlineStr">
        <is>
          <t>WTO_004</t>
        </is>
      </c>
      <c r="L37" s="2" t="inlineStr">
        <is>
          <t>WTO_004; IRS_001; DHS_001; EU_001; MOFCOM_004</t>
        </is>
      </c>
    </row>
    <row r="38">
      <c r="A38" s="2" t="inlineStr">
        <is>
          <t>Q037</t>
        </is>
      </c>
      <c r="B38" s="2" t="n">
        <v>1</v>
      </c>
      <c r="C38" s="2" t="n">
        <v>1</v>
      </c>
      <c r="D38" s="2">
        <f>IFERROR(AVERAGEIF('Item Scoring'!$A$2:$A$216,$A38,'Item Scoring'!$I$2:$I$216),"")</f>
        <v/>
      </c>
      <c r="E38" s="3">
        <f>IFERROR(AVERAGEIF('Item Scoring'!$A$2:$A$216,$A38,'Item Scoring'!$J$2:$J$216),"")</f>
        <v/>
      </c>
      <c r="F38" s="3" t="n">
        <v>2</v>
      </c>
      <c r="G38" s="3" t="inlineStr">
        <is>
          <t>gold（WB_001）命中且排名第1，可给出中国/越南/印尼/墨西哥物流基准</t>
        </is>
      </c>
      <c r="H38" s="2" t="inlineStr">
        <is>
          <t>Supply Chain Risk</t>
        </is>
      </c>
      <c r="I38" s="2" t="inlineStr">
        <is>
          <t>logistics</t>
        </is>
      </c>
      <c r="J38" s="2" t="inlineStr">
        <is>
          <t>如果产能从中国转移到越南、印尼或墨西哥，物流与通关效率会带来多大额外成本？有没有可量化的基准？</t>
        </is>
      </c>
      <c r="K38" s="2" t="inlineStr">
        <is>
          <t>WB_001</t>
        </is>
      </c>
      <c r="L38" s="2" t="inlineStr">
        <is>
          <t>WB_001; CASE_002; DHS_001; TRD_001; EU_003</t>
        </is>
      </c>
    </row>
    <row r="39">
      <c r="A39" s="2" t="inlineStr">
        <is>
          <t>Q038</t>
        </is>
      </c>
      <c r="B39" s="2" t="n">
        <v>1</v>
      </c>
      <c r="C39" s="2" t="n">
        <v>1</v>
      </c>
      <c r="D39" s="2">
        <f>IFERROR(AVERAGEIF('Item Scoring'!$A$2:$A$216,$A39,'Item Scoring'!$I$2:$I$216),"")</f>
        <v/>
      </c>
      <c r="E39" s="3">
        <f>IFERROR(AVERAGEIF('Item Scoring'!$A$2:$A$216,$A39,'Item Scoring'!$J$2:$J$216),"")</f>
        <v/>
      </c>
      <c r="F39" s="3" t="n">
        <v>2</v>
      </c>
      <c r="G39" s="3" t="inlineStr">
        <is>
          <t>gold（DHS_001）命中且排名第1，UFLPA 可反驳推定对电池材料的约束可答</t>
        </is>
      </c>
      <c r="H39" s="2" t="inlineStr">
        <is>
          <t>Policy / Trade Risk</t>
        </is>
      </c>
      <c r="I39" s="2" t="inlineStr">
        <is>
          <t>labor</t>
        </is>
      </c>
      <c r="J39" s="2" t="inlineStr">
        <is>
          <t>电池材料出口到美国时，哪些强迫劳动合规要求会直接限制我们的供应商选择？</t>
        </is>
      </c>
      <c r="K39" s="2" t="inlineStr">
        <is>
          <t>DHS_001</t>
        </is>
      </c>
      <c r="L39" s="2" t="inlineStr">
        <is>
          <t>DHS_001; IRS_001; EU_001; SNE_001; MOFCOM_002</t>
        </is>
      </c>
    </row>
    <row r="40">
      <c r="A40" s="2" t="inlineStr">
        <is>
          <t>Q039</t>
        </is>
      </c>
      <c r="B40" s="2" t="n">
        <v>1</v>
      </c>
      <c r="C40" s="2" t="n">
        <v>1</v>
      </c>
      <c r="D40" s="2">
        <f>IFERROR(AVERAGEIF('Item Scoring'!$A$2:$A$216,$A40,'Item Scoring'!$I$2:$I$216),"")</f>
        <v/>
      </c>
      <c r="E40" s="3">
        <f>IFERROR(AVERAGEIF('Item Scoring'!$A$2:$A$216,$A40,'Item Scoring'!$J$2:$J$216),"")</f>
        <v/>
      </c>
      <c r="F40" s="3" t="n">
        <v>1</v>
      </c>
      <c r="G40" s="3" t="inlineStr">
        <is>
          <t>仅 SNE_001 命中（排名第1），IEA_001 未进 Top-5，集中度证据覆盖不完整</t>
        </is>
      </c>
      <c r="H40" s="2" t="inlineStr">
        <is>
          <t>Supply Chain Risk</t>
        </is>
      </c>
      <c r="I40" s="2" t="inlineStr">
        <is>
          <t>supply_chain</t>
        </is>
      </c>
      <c r="J40" s="2" t="inlineStr">
        <is>
          <t>全球动力电池供给的集中度到底有多高？有没有最新数据说明中国供应商的份额？</t>
        </is>
      </c>
      <c r="K40" s="2" t="inlineStr">
        <is>
          <t>SNE_001; IEA_001</t>
        </is>
      </c>
      <c r="L40" s="2" t="inlineStr">
        <is>
          <t>SNE_001; DHS_001; TRD_001; EU_003; IRS_001</t>
        </is>
      </c>
    </row>
    <row r="41">
      <c r="A41" s="2" t="inlineStr">
        <is>
          <t>Q040</t>
        </is>
      </c>
      <c r="B41" s="2" t="n">
        <v>1</v>
      </c>
      <c r="C41" s="2" t="n">
        <v>3</v>
      </c>
      <c r="D41" s="2">
        <f>IFERROR(AVERAGEIF('Item Scoring'!$A$2:$A$216,$A41,'Item Scoring'!$I$2:$I$216),"")</f>
        <v/>
      </c>
      <c r="E41" s="3">
        <f>IFERROR(AVERAGEIF('Item Scoring'!$A$2:$A$216,$A41,'Item Scoring'!$J$2:$J$216),"")</f>
        <v/>
      </c>
      <c r="F41" s="3" t="n">
        <v>2</v>
      </c>
      <c r="G41" s="3" t="inlineStr">
        <is>
          <t>三份 gold（USMCA_001/WB_001/WTO_004）全部命中，三个维度均有直接证据</t>
        </is>
      </c>
      <c r="H41" s="2" t="inlineStr">
        <is>
          <t>Scenario Simulation Support</t>
        </is>
      </c>
      <c r="I41" s="2" t="inlineStr">
        <is>
          <t>supply_chain</t>
        </is>
      </c>
      <c r="J41" s="2" t="inlineStr">
        <is>
          <t>董事会要在「保留中国产能」「迁往墨西哥」「迁往印尼」之间取舍，现有证据分别能支撑哪些关键判断（原产地门槛、本地含量要求、物流成本）？</t>
        </is>
      </c>
      <c r="K41" s="2" t="inlineStr">
        <is>
          <t>USMCA_001; WTO_004; WB_001</t>
        </is>
      </c>
      <c r="L41" s="2" t="inlineStr">
        <is>
          <t>USMCA_001; WB_001; IRS_001; CASE_002; WTO_004</t>
        </is>
      </c>
    </row>
    <row r="42">
      <c r="A42" s="2" t="inlineStr">
        <is>
          <t>Q041</t>
        </is>
      </c>
      <c r="B42" s="2" t="n">
        <v>1</v>
      </c>
      <c r="C42" s="2" t="n">
        <v>1</v>
      </c>
      <c r="D42" s="2">
        <f>IFERROR(AVERAGEIF('Item Scoring'!$A$2:$A$216,$A42,'Item Scoring'!$I$2:$I$216),"")</f>
        <v/>
      </c>
      <c r="E42" s="3">
        <f>IFERROR(AVERAGEIF('Item Scoring'!$A$2:$A$216,$A42,'Item Scoring'!$J$2:$J$216),"")</f>
        <v/>
      </c>
      <c r="F42" s="3" t="n">
        <v>2</v>
      </c>
      <c r="G42" s="3" t="inlineStr">
        <is>
          <t>gold（EU_001）命中且排名第1，欧盟电池法规合规要求可直接作答</t>
        </is>
      </c>
      <c r="H42" s="2" t="inlineStr">
        <is>
          <t>Market Access</t>
        </is>
      </c>
      <c r="I42" s="2" t="inlineStr">
        <is>
          <t>market_access</t>
        </is>
      </c>
      <c r="J42" s="2" t="inlineStr">
        <is>
          <t>我们准备向欧盟出口 EV 电池。欧盟电池法规对进入欧盟市场的电池提出了哪些强制合规要求（碳足迹、再生材料含量、供应链尽职调查、电池护照）？</t>
        </is>
      </c>
      <c r="K42" s="2" t="inlineStr">
        <is>
          <t>EU_001</t>
        </is>
      </c>
      <c r="L42" s="2" t="inlineStr">
        <is>
          <t>EU_001; DHS_001; EU_003; CSIS_001; SNE_001</t>
        </is>
      </c>
    </row>
    <row r="43">
      <c r="A43" s="2" t="inlineStr">
        <is>
          <t>Q042</t>
        </is>
      </c>
      <c r="B43" s="2" t="n">
        <v>1</v>
      </c>
      <c r="C43" s="2" t="n">
        <v>1</v>
      </c>
      <c r="D43" s="2">
        <f>IFERROR(AVERAGEIF('Item Scoring'!$A$2:$A$216,$A43,'Item Scoring'!$I$2:$I$216),"")</f>
        <v/>
      </c>
      <c r="E43" s="3">
        <f>IFERROR(AVERAGEIF('Item Scoring'!$A$2:$A$216,$A43,'Item Scoring'!$J$2:$J$216),"")</f>
        <v/>
      </c>
      <c r="F43" s="3" t="n">
        <v>2</v>
      </c>
      <c r="G43" s="3" t="inlineStr">
        <is>
          <t>gold（EU_003）命中且排名第1，各企业反补贴税率可直接作答</t>
        </is>
      </c>
      <c r="H43" s="2" t="inlineStr">
        <is>
          <t>Policy / Trade Risk</t>
        </is>
      </c>
      <c r="I43" s="2" t="inlineStr">
        <is>
          <t>tariff</t>
        </is>
      </c>
      <c r="J43" s="2" t="inlineStr">
        <is>
          <t>欧盟对中国产纯电动车征收的最终反补贴税税率是多少？不同企业（比亚迪/吉利/上汽/特斯拉）的税率差异如何？</t>
        </is>
      </c>
      <c r="K43" s="2" t="inlineStr">
        <is>
          <t>EU_003</t>
        </is>
      </c>
      <c r="L43" s="2" t="inlineStr">
        <is>
          <t>EU_003; CASE_002; DHS_001; TRD_001; SNE_001</t>
        </is>
      </c>
    </row>
    <row r="44">
      <c r="A44" s="2" t="inlineStr">
        <is>
          <t>Q043</t>
        </is>
      </c>
      <c r="B44" s="2" t="n">
        <v>1</v>
      </c>
      <c r="C44" s="2" t="n">
        <v>2</v>
      </c>
      <c r="D44" s="2">
        <f>IFERROR(AVERAGEIF('Item Scoring'!$A$2:$A$216,$A44,'Item Scoring'!$I$2:$I$216),"")</f>
        <v/>
      </c>
      <c r="E44" s="3">
        <f>IFERROR(AVERAGEIF('Item Scoring'!$A$2:$A$216,$A44,'Item Scoring'!$J$2:$J$216),"")</f>
        <v/>
      </c>
      <c r="F44" s="3" t="n">
        <v>2</v>
      </c>
      <c r="G44" s="3" t="inlineStr">
        <is>
          <t>两份 gold（EU_002/EU_004）全部命中，分别排名第1–2</t>
        </is>
      </c>
      <c r="H44" s="2" t="inlineStr">
        <is>
          <t>Policy / Trade Risk</t>
        </is>
      </c>
      <c r="I44" s="2" t="inlineStr">
        <is>
          <t>investment_policy</t>
        </is>
      </c>
      <c r="J44" s="2" t="inlineStr">
        <is>
          <t>如果中国电池企业要在欧盟建厂或收购当地电池资产，欧盟层面的外资安全审查框架和关键原材料法案会带来哪些约束（审查范围、本土化与单一第三国依赖目标）？</t>
        </is>
      </c>
      <c r="K44" s="2" t="inlineStr">
        <is>
          <t>EU_002; EU_004</t>
        </is>
      </c>
      <c r="L44" s="2" t="inlineStr">
        <is>
          <t>EU_002; EU_004; DHS_001; EU_001; EU_003</t>
        </is>
      </c>
    </row>
  </sheetData>
  <dataValidations count="1">
    <dataValidation sqref="F2:F44"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t="inlineStr">
        <is>
          <t>Questions</t>
        </is>
      </c>
      <c r="B2" t="n">
        <v>30</v>
      </c>
      <c r="C2" t="inlineStr">
        <is>
          <t>30 questions</t>
        </is>
      </c>
    </row>
    <row r="3"/>
    <row r="4">
      <c r="A4" t="inlineStr">
        <is>
          <t>Primary metrics (auto-calculated from Question Scoring)</t>
        </is>
      </c>
    </row>
    <row r="5">
      <c r="A5" t="inlineStr">
        <is>
          <t>Avg Relevance (Top-5, 0-2)</t>
        </is>
      </c>
      <c r="B5" s="7">
        <f>AVERAGE('Question Scoring'!$D$2:$D$44)</f>
        <v/>
      </c>
      <c r="C5" t="inlineStr">
        <is>
          <t>&gt;= 1.5</t>
        </is>
      </c>
      <c r="D5">
        <f>IF(B5="","",IF(B5&gt;=1.5,"PASS","FAIL"))</f>
        <v/>
      </c>
    </row>
    <row r="6">
      <c r="A6" t="inlineStr">
        <is>
          <t>Avg Authority (Top-5, 0-2)</t>
        </is>
      </c>
      <c r="B6" s="7">
        <f>AVERAGE('Question Scoring'!$E$2:$E$44)</f>
        <v/>
      </c>
      <c r="C6" t="inlineStr">
        <is>
          <t>&gt;= 1.5</t>
        </is>
      </c>
      <c r="D6">
        <f>IF(B6="","",IF(B6&gt;=1.5,"PASS","FAIL"))</f>
        <v/>
      </c>
    </row>
    <row r="7">
      <c r="A7" t="inlineStr">
        <is>
          <t>Hit@5 rate (&gt;=1 correct evidence in Top-5)</t>
        </is>
      </c>
      <c r="B7" s="8">
        <f>AVERAGE('Question Scoring'!$B$2:$B$44)</f>
        <v/>
      </c>
      <c r="C7" t="inlineStr">
        <is>
          <t>&gt;= 80%</t>
        </is>
      </c>
      <c r="D7">
        <f>IF(B7="","",IF(B7&gt;=0.8,"PASS","FAIL"))</f>
        <v/>
      </c>
    </row>
    <row r="8">
      <c r="A8" t="inlineStr">
        <is>
          <t>Avg Coverage (0-2)</t>
        </is>
      </c>
      <c r="B8" s="7">
        <f>IFERROR(AVERAGE('Question Scoring'!$F$2:$F$44),"")</f>
        <v/>
      </c>
      <c r="C8" t="inlineStr">
        <is>
          <t>report</t>
        </is>
      </c>
      <c r="D8" t="inlineStr">
        <is>
          <t>report only</t>
        </is>
      </c>
    </row>
    <row r="9"/>
    <row r="10">
      <c r="A10" t="inlineStr">
        <is>
          <t>Note</t>
        </is>
      </c>
      <c r="B10" t="inlineStr">
        <is>
          <t>Fill the yellow cells first — Summary updates automatically.</t>
        </is>
      </c>
    </row>
    <row r="12">
      <c r="A12" s="10" t="inlineStr">
        <is>
          <t>Scoring pass</t>
        </is>
      </c>
      <c r="B12" t="inlineStr">
        <is>
          <t>AI-assisted pre-scoring (content-based, keyed by evidence_id). Review flagged rows before finalising.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2026-10-16T13:54:22Z</dcterms:created>
  <dcterms:modified xsi:type="dcterms:W3CDTF">2026-10-16T13:54:22Z</dcterms:modified>
</cp:coreProperties>
</file>